
<file path=[Content_Types].xml><?xml version="1.0" encoding="utf-8"?>
<Types xmlns="http://schemas.openxmlformats.org/package/2006/content-types">
  <Default Extension="bin" ContentType="application/vnd.openxmlformats-officedocument.spreadsheetml.printerSettings"/>
  <Default Extension="tmp"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harts/chart1.xml" ContentType="application/vnd.openxmlformats-officedocument.drawingml.chart+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filterPrivacy="1" codeName="ThisWorkbook" defaultThemeVersion="124226"/>
  <bookViews>
    <workbookView xWindow="0" yWindow="0" windowWidth="2160" windowHeight="1170"/>
  </bookViews>
  <sheets>
    <sheet name="UserForm" sheetId="14" r:id="rId1"/>
    <sheet name="Projection" sheetId="10" r:id="rId2"/>
    <sheet name="Tax" sheetId="8" r:id="rId3"/>
    <sheet name="Rates" sheetId="1" r:id="rId4"/>
    <sheet name="Credits" sheetId="9" r:id="rId5"/>
    <sheet name="DropDownList" sheetId="7" state="hidden" r:id="rId6"/>
    <sheet name="Funds2013" sheetId="13" state="hidden" r:id="rId7"/>
    <sheet name="TFSA2013" sheetId="11" state="hidden" r:id="rId8"/>
  </sheets>
  <definedNames>
    <definedName name="Current_Age">UserForm!$D$7</definedName>
    <definedName name="Income" localSheetId="1">Tax!$C$6</definedName>
    <definedName name="Inflation">UserForm!$H$13</definedName>
    <definedName name="Margin">UserForm!$D$14</definedName>
    <definedName name="Productivity">UserForm!$H$14</definedName>
    <definedName name="Retirement_Age">UserForm!$H$5</definedName>
    <definedName name="Return">UserForm!$H$12</definedName>
    <definedName name="RRSP">UserForm!$D$13</definedName>
    <definedName name="Salary">Tax!$C$6</definedName>
    <definedName name="Savings_Rate">UserForm!$H$6</definedName>
    <definedName name="solver_adj" localSheetId="1" hidden="1">Projection!$E$9</definedName>
    <definedName name="solver_cvg" localSheetId="1" hidden="1">0.0001</definedName>
    <definedName name="solver_drv" localSheetId="1" hidden="1">1</definedName>
    <definedName name="solver_eng" localSheetId="1" hidden="1">1</definedName>
    <definedName name="solver_est" localSheetId="1" hidden="1">1</definedName>
    <definedName name="solver_itr" localSheetId="1" hidden="1">2147483647</definedName>
    <definedName name="solver_mip" localSheetId="1" hidden="1">2147483647</definedName>
    <definedName name="solver_mni" localSheetId="1" hidden="1">30</definedName>
    <definedName name="solver_mrt" localSheetId="1" hidden="1">0.075</definedName>
    <definedName name="solver_msl" localSheetId="1" hidden="1">2</definedName>
    <definedName name="solver_neg" localSheetId="1" hidden="1">1</definedName>
    <definedName name="solver_nod" localSheetId="1" hidden="1">2147483647</definedName>
    <definedName name="solver_num" localSheetId="1" hidden="1">0</definedName>
    <definedName name="solver_nwt" localSheetId="1" hidden="1">1</definedName>
    <definedName name="solver_opt" localSheetId="1" hidden="1">Projection!$E$5</definedName>
    <definedName name="solver_pre" localSheetId="1" hidden="1">0.000001</definedName>
    <definedName name="solver_rbv" localSheetId="1" hidden="1">1</definedName>
    <definedName name="solver_rlx" localSheetId="1" hidden="1">2</definedName>
    <definedName name="solver_rsd" localSheetId="1" hidden="1">0</definedName>
    <definedName name="solver_scl" localSheetId="1" hidden="1">1</definedName>
    <definedName name="solver_sho" localSheetId="1" hidden="1">2</definedName>
    <definedName name="solver_ssz" localSheetId="1" hidden="1">100</definedName>
    <definedName name="solver_tim" localSheetId="1" hidden="1">2147483647</definedName>
    <definedName name="solver_tol" localSheetId="1" hidden="1">0.01</definedName>
    <definedName name="solver_typ" localSheetId="1" hidden="1">3</definedName>
    <definedName name="solver_val" localSheetId="1" hidden="1">5000000</definedName>
    <definedName name="solver_ver" localSheetId="1" hidden="1">3</definedName>
    <definedName name="Tax_Total">Tax!$G$15</definedName>
    <definedName name="Taxable_Income">Tax!$C$8</definedName>
    <definedName name="Territory">DropDownList!$B$4:$B$16</definedName>
    <definedName name="TFSA">UserForm!$D$12</definedName>
    <definedName name="Year">UserForm!$B$2</definedName>
  </definedNames>
  <calcPr calcId="145621"/>
</workbook>
</file>

<file path=xl/calcChain.xml><?xml version="1.0" encoding="utf-8"?>
<calcChain xmlns="http://schemas.openxmlformats.org/spreadsheetml/2006/main">
  <c r="E9" i="10" l="1"/>
  <c r="F9" i="10" s="1"/>
  <c r="M6" i="10" l="1"/>
  <c r="D7" i="14" l="1"/>
  <c r="C5" i="8" l="1"/>
  <c r="I6" i="10"/>
  <c r="J6" i="10"/>
  <c r="AB9" i="10"/>
  <c r="AC9" i="10" s="1"/>
  <c r="C8" i="8" l="1"/>
  <c r="B2" i="14"/>
  <c r="D21" i="9" l="1"/>
  <c r="C9" i="10"/>
  <c r="W9" i="10"/>
  <c r="X9" i="10" s="1"/>
  <c r="Q9" i="10"/>
  <c r="R9" i="10" s="1"/>
  <c r="D17" i="9" l="1"/>
  <c r="D9" i="9"/>
  <c r="D10" i="9"/>
  <c r="D14" i="9"/>
  <c r="D22" i="9"/>
  <c r="D12" i="9"/>
  <c r="D11" i="9"/>
  <c r="D13" i="9"/>
  <c r="D15" i="9"/>
  <c r="D19" i="9"/>
  <c r="D20" i="9"/>
  <c r="D18" i="9"/>
  <c r="D16" i="9"/>
  <c r="E56" i="1" l="1"/>
  <c r="E51" i="1"/>
  <c r="E46" i="1"/>
  <c r="E41" i="1"/>
  <c r="E34" i="1"/>
  <c r="E28" i="1"/>
  <c r="E23" i="1"/>
  <c r="E18" i="1"/>
  <c r="E12" i="1"/>
  <c r="E7" i="1"/>
  <c r="E55" i="1"/>
  <c r="E50" i="1"/>
  <c r="E44" i="1"/>
  <c r="E38" i="1"/>
  <c r="E32" i="1"/>
  <c r="E27" i="1"/>
  <c r="E22" i="1"/>
  <c r="E17" i="1"/>
  <c r="E11" i="1"/>
  <c r="E54" i="1"/>
  <c r="E48" i="1"/>
  <c r="E43" i="1"/>
  <c r="E37" i="1"/>
  <c r="E31" i="1"/>
  <c r="E26" i="1"/>
  <c r="E20" i="1"/>
  <c r="E15" i="1"/>
  <c r="E9" i="1"/>
  <c r="E52" i="1"/>
  <c r="E47" i="1"/>
  <c r="E42" i="1"/>
  <c r="E35" i="1"/>
  <c r="E30" i="1"/>
  <c r="E24" i="1"/>
  <c r="E19" i="1"/>
  <c r="E14" i="1"/>
  <c r="E8" i="1"/>
  <c r="I5" i="13"/>
  <c r="I6" i="13" s="1"/>
  <c r="I7" i="13" s="1"/>
  <c r="I8" i="13" s="1"/>
  <c r="I9" i="13" s="1"/>
  <c r="I10" i="13" s="1"/>
  <c r="I11" i="13" s="1"/>
  <c r="I12" i="13" s="1"/>
  <c r="I13" i="13" s="1"/>
  <c r="I14" i="13" s="1"/>
  <c r="I15" i="13" s="1"/>
  <c r="I16" i="13" s="1"/>
  <c r="I17" i="13" s="1"/>
  <c r="I18" i="13" s="1"/>
  <c r="I19" i="13" s="1"/>
  <c r="I20" i="13" s="1"/>
  <c r="I21" i="13" s="1"/>
  <c r="I22" i="13" s="1"/>
  <c r="I23" i="13" s="1"/>
  <c r="I24" i="13" s="1"/>
  <c r="I25" i="13" s="1"/>
  <c r="I26" i="13" s="1"/>
  <c r="I27" i="13" s="1"/>
  <c r="I28" i="13" s="1"/>
  <c r="I29" i="13" s="1"/>
  <c r="I30" i="13" s="1"/>
  <c r="I31" i="13" s="1"/>
  <c r="I32" i="13" s="1"/>
  <c r="I33" i="13" s="1"/>
  <c r="I34" i="13" s="1"/>
  <c r="I35" i="13" s="1"/>
  <c r="I36" i="13" s="1"/>
  <c r="I37" i="13" s="1"/>
  <c r="I38" i="13" s="1"/>
  <c r="I39" i="13" s="1"/>
  <c r="I40" i="13" s="1"/>
  <c r="I41" i="13" s="1"/>
  <c r="I42" i="13" s="1"/>
  <c r="I43" i="13" s="1"/>
  <c r="I44" i="13" s="1"/>
  <c r="I45" i="13" s="1"/>
  <c r="I46" i="13" s="1"/>
  <c r="I47" i="13" s="1"/>
  <c r="I48" i="13" s="1"/>
  <c r="I49" i="13" s="1"/>
  <c r="I50" i="13" s="1"/>
  <c r="I51" i="13" s="1"/>
  <c r="I52" i="13" s="1"/>
  <c r="I53" i="13" s="1"/>
  <c r="I54" i="13" s="1"/>
  <c r="I55" i="13" s="1"/>
  <c r="I56" i="13" s="1"/>
  <c r="I57" i="13" s="1"/>
  <c r="I58" i="13" s="1"/>
  <c r="I59" i="13" s="1"/>
  <c r="I60" i="13" s="1"/>
  <c r="I61" i="13" s="1"/>
  <c r="I62" i="13" s="1"/>
  <c r="I63" i="13" s="1"/>
  <c r="K35" i="8" l="1"/>
  <c r="K34" i="8"/>
  <c r="K33" i="8"/>
  <c r="K32" i="8"/>
  <c r="K31" i="8"/>
  <c r="K30" i="8"/>
  <c r="K29" i="8"/>
  <c r="K28" i="8"/>
  <c r="K27" i="8"/>
  <c r="K26" i="8"/>
  <c r="K25" i="8"/>
  <c r="K24" i="8"/>
  <c r="K23" i="8"/>
  <c r="D39" i="8"/>
  <c r="F56" i="1"/>
  <c r="F55" i="1"/>
  <c r="F54" i="1"/>
  <c r="F52" i="1"/>
  <c r="F51" i="1"/>
  <c r="F50" i="1"/>
  <c r="F48" i="1"/>
  <c r="F47" i="1"/>
  <c r="F46" i="1"/>
  <c r="F44" i="1"/>
  <c r="F43" i="1"/>
  <c r="F42" i="1"/>
  <c r="F41" i="1"/>
  <c r="F38" i="1"/>
  <c r="F37" i="1"/>
  <c r="F35" i="1"/>
  <c r="F34" i="1"/>
  <c r="F32" i="1"/>
  <c r="F31" i="1"/>
  <c r="F30" i="1"/>
  <c r="F28" i="1"/>
  <c r="F27" i="1"/>
  <c r="F26" i="1"/>
  <c r="F24" i="1"/>
  <c r="F23" i="1"/>
  <c r="F22" i="1"/>
  <c r="F20" i="1"/>
  <c r="F19" i="1"/>
  <c r="F18" i="1"/>
  <c r="F17" i="1"/>
  <c r="F15" i="1"/>
  <c r="F14" i="1"/>
  <c r="F12" i="1"/>
  <c r="F11" i="1"/>
  <c r="F9" i="1"/>
  <c r="F7" i="1"/>
  <c r="F8" i="1"/>
  <c r="H39" i="8" l="1"/>
  <c r="E39" i="8"/>
  <c r="D13" i="8" s="1"/>
  <c r="D9" i="10"/>
  <c r="V9" i="10"/>
  <c r="Y9" i="10" s="1"/>
  <c r="S9" i="10" s="1"/>
  <c r="AD9" i="10" s="1"/>
  <c r="AE9" i="10" s="1"/>
  <c r="K9" i="10" l="1"/>
  <c r="L9" i="10"/>
  <c r="T9" i="10"/>
  <c r="C13" i="8"/>
  <c r="G39" i="8"/>
  <c r="D10" i="10"/>
  <c r="E10" i="10" s="1"/>
  <c r="N9" i="10" l="1"/>
  <c r="AB10" i="10"/>
  <c r="AC10" i="10" s="1"/>
  <c r="P10" i="10"/>
  <c r="Q10" i="10"/>
  <c r="R10" i="10" s="1"/>
  <c r="G10" i="10"/>
  <c r="Z9" i="10"/>
  <c r="C10" i="10"/>
  <c r="F10" i="10"/>
  <c r="D11" i="10"/>
  <c r="E11" i="10" s="1"/>
  <c r="D35" i="8"/>
  <c r="E35" i="8" s="1"/>
  <c r="D34" i="8"/>
  <c r="E34" i="8" s="1"/>
  <c r="D33" i="8"/>
  <c r="E33" i="8" s="1"/>
  <c r="D32" i="8"/>
  <c r="E32" i="8" s="1"/>
  <c r="D31" i="8"/>
  <c r="E31" i="8" s="1"/>
  <c r="D30" i="8"/>
  <c r="E30" i="8" s="1"/>
  <c r="D29" i="8"/>
  <c r="E29" i="8" s="1"/>
  <c r="D28" i="8"/>
  <c r="E28" i="8" s="1"/>
  <c r="D27" i="8"/>
  <c r="E27" i="8" s="1"/>
  <c r="D26" i="8"/>
  <c r="E26" i="8" s="1"/>
  <c r="D25" i="8"/>
  <c r="E25" i="8" s="1"/>
  <c r="D24" i="8"/>
  <c r="E24" i="8" s="1"/>
  <c r="D23" i="8"/>
  <c r="E23" i="8" s="1"/>
  <c r="K10" i="10" l="1"/>
  <c r="P11" i="10"/>
  <c r="V10" i="10"/>
  <c r="W10" i="10"/>
  <c r="G11" i="10"/>
  <c r="D12" i="8"/>
  <c r="L10" i="10"/>
  <c r="C11" i="10"/>
  <c r="F11" i="10"/>
  <c r="D12" i="10"/>
  <c r="E12" i="10" s="1"/>
  <c r="B12" i="8"/>
  <c r="K11" i="10" l="1"/>
  <c r="X10" i="10"/>
  <c r="Y10" i="10"/>
  <c r="S10" i="10" s="1"/>
  <c r="AD10" i="10" s="1"/>
  <c r="AE10" i="10" s="1"/>
  <c r="P12" i="10"/>
  <c r="N10" i="10"/>
  <c r="G12" i="10"/>
  <c r="L11" i="10"/>
  <c r="C12" i="10"/>
  <c r="F12" i="10"/>
  <c r="D13" i="10"/>
  <c r="E13" i="10" s="1"/>
  <c r="K12" i="10" l="1"/>
  <c r="T10" i="10"/>
  <c r="Q11" i="10" s="1"/>
  <c r="R11" i="10" s="1"/>
  <c r="AB11" i="10"/>
  <c r="Z10" i="10"/>
  <c r="W11" i="10" s="1"/>
  <c r="V11" i="10"/>
  <c r="P13" i="10"/>
  <c r="N11" i="10"/>
  <c r="G13" i="10"/>
  <c r="L12" i="10"/>
  <c r="C13" i="10"/>
  <c r="F13" i="10"/>
  <c r="D14" i="10"/>
  <c r="E14" i="10" s="1"/>
  <c r="K13" i="10" l="1"/>
  <c r="AC11" i="10"/>
  <c r="X11" i="10"/>
  <c r="Y11" i="10"/>
  <c r="S11" i="10" s="1"/>
  <c r="AD11" i="10" s="1"/>
  <c r="P14" i="10"/>
  <c r="N12" i="10"/>
  <c r="G14" i="10"/>
  <c r="L13" i="10"/>
  <c r="C14" i="10"/>
  <c r="F14" i="10"/>
  <c r="D15" i="10"/>
  <c r="E15" i="10" s="1"/>
  <c r="C35" i="8"/>
  <c r="C34" i="8"/>
  <c r="C33" i="8"/>
  <c r="C32" i="8"/>
  <c r="C31" i="8"/>
  <c r="C30" i="8"/>
  <c r="C29" i="8"/>
  <c r="C28" i="8"/>
  <c r="C27" i="8"/>
  <c r="C26" i="8"/>
  <c r="C25" i="8"/>
  <c r="C24" i="8"/>
  <c r="C23" i="8"/>
  <c r="C5" i="9"/>
  <c r="B2" i="9" s="1"/>
  <c r="K14" i="10" l="1"/>
  <c r="AE11" i="10"/>
  <c r="AB12" i="10" s="1"/>
  <c r="T11" i="10"/>
  <c r="Q12" i="10" s="1"/>
  <c r="R12" i="10" s="1"/>
  <c r="V12" i="10"/>
  <c r="Y12" i="10" s="1"/>
  <c r="S12" i="10" s="1"/>
  <c r="AD12" i="10" s="1"/>
  <c r="Z11" i="10"/>
  <c r="P15" i="10"/>
  <c r="N13" i="10"/>
  <c r="G15" i="10"/>
  <c r="L14" i="10"/>
  <c r="C15" i="10"/>
  <c r="F15" i="10"/>
  <c r="D16" i="10"/>
  <c r="E16" i="10" s="1"/>
  <c r="B2" i="8"/>
  <c r="J36" i="8"/>
  <c r="K15" i="10" l="1"/>
  <c r="AC12" i="10"/>
  <c r="AE12" i="10" s="1"/>
  <c r="T12" i="10"/>
  <c r="Q13" i="10" s="1"/>
  <c r="R13" i="10" s="1"/>
  <c r="V13" i="10"/>
  <c r="P16" i="10"/>
  <c r="W12" i="10"/>
  <c r="N14" i="10"/>
  <c r="G16" i="10"/>
  <c r="L15" i="10"/>
  <c r="C16" i="10"/>
  <c r="F16" i="10"/>
  <c r="D17" i="10"/>
  <c r="E17" i="10" s="1"/>
  <c r="K16" i="10" l="1"/>
  <c r="X12" i="10"/>
  <c r="Z12" i="10" s="1"/>
  <c r="Y13" i="10"/>
  <c r="P17" i="10"/>
  <c r="N15" i="10"/>
  <c r="G17" i="10"/>
  <c r="L16" i="10"/>
  <c r="C17" i="10"/>
  <c r="F17" i="10"/>
  <c r="D18" i="10"/>
  <c r="E18" i="10" s="1"/>
  <c r="K17" i="10" l="1"/>
  <c r="AB13" i="10"/>
  <c r="V14" i="10"/>
  <c r="Y14" i="10" s="1"/>
  <c r="S13" i="10"/>
  <c r="AD13" i="10" s="1"/>
  <c r="P18" i="10"/>
  <c r="W13" i="10"/>
  <c r="N16" i="10"/>
  <c r="G18" i="10"/>
  <c r="L17" i="10"/>
  <c r="C18" i="10"/>
  <c r="F18" i="10"/>
  <c r="D19" i="10"/>
  <c r="E19" i="10" s="1"/>
  <c r="K18" i="10" l="1"/>
  <c r="AC13" i="10"/>
  <c r="AE13" i="10" s="1"/>
  <c r="AB14" i="10" s="1"/>
  <c r="S14" i="10"/>
  <c r="AD14" i="10" s="1"/>
  <c r="T13" i="10"/>
  <c r="Q14" i="10" s="1"/>
  <c r="R14" i="10" s="1"/>
  <c r="V15" i="10"/>
  <c r="Y15" i="10" s="1"/>
  <c r="P19" i="10"/>
  <c r="X13" i="10"/>
  <c r="N17" i="10"/>
  <c r="G19" i="10"/>
  <c r="L18" i="10"/>
  <c r="C19" i="10"/>
  <c r="F19" i="10"/>
  <c r="D20" i="10"/>
  <c r="E20" i="10" s="1"/>
  <c r="K19" i="10" l="1"/>
  <c r="AC14" i="10"/>
  <c r="AE14" i="10" s="1"/>
  <c r="AB15" i="10" s="1"/>
  <c r="S15" i="10"/>
  <c r="AD15" i="10" s="1"/>
  <c r="T14" i="10"/>
  <c r="Q15" i="10" s="1"/>
  <c r="R15" i="10" s="1"/>
  <c r="Z13" i="10"/>
  <c r="W14" i="10" s="1"/>
  <c r="V16" i="10"/>
  <c r="Y16" i="10" s="1"/>
  <c r="S16" i="10" s="1"/>
  <c r="AD16" i="10" s="1"/>
  <c r="P20" i="10"/>
  <c r="N18" i="10"/>
  <c r="G20" i="10"/>
  <c r="L19" i="10"/>
  <c r="C20" i="10"/>
  <c r="F20" i="10"/>
  <c r="D21" i="10"/>
  <c r="E21" i="10" s="1"/>
  <c r="K20" i="10" l="1"/>
  <c r="AC15" i="10"/>
  <c r="AE15" i="10" s="1"/>
  <c r="T15" i="10"/>
  <c r="Q16" i="10" s="1"/>
  <c r="R16" i="10" s="1"/>
  <c r="X14" i="10"/>
  <c r="Z14" i="10" s="1"/>
  <c r="W15" i="10" s="1"/>
  <c r="V17" i="10"/>
  <c r="Y17" i="10" s="1"/>
  <c r="P21" i="10"/>
  <c r="N19" i="10"/>
  <c r="G21" i="10"/>
  <c r="L20" i="10"/>
  <c r="C21" i="10"/>
  <c r="F21" i="10"/>
  <c r="D22" i="10"/>
  <c r="E22" i="10" s="1"/>
  <c r="K21" i="10" l="1"/>
  <c r="AB16" i="10"/>
  <c r="V18" i="10"/>
  <c r="Y18" i="10" s="1"/>
  <c r="S17" i="10"/>
  <c r="AD17" i="10" s="1"/>
  <c r="T16" i="10"/>
  <c r="Q17" i="10" s="1"/>
  <c r="R17" i="10" s="1"/>
  <c r="X15" i="10"/>
  <c r="Z15" i="10" s="1"/>
  <c r="W16" i="10" s="1"/>
  <c r="P22" i="10"/>
  <c r="N20" i="10"/>
  <c r="G22" i="10"/>
  <c r="L21" i="10"/>
  <c r="C22" i="10"/>
  <c r="F22" i="10"/>
  <c r="D23" i="10"/>
  <c r="E23" i="10" s="1"/>
  <c r="K22" i="10" l="1"/>
  <c r="AC16" i="10"/>
  <c r="AE16" i="10" s="1"/>
  <c r="AB17" i="10" s="1"/>
  <c r="S18" i="10"/>
  <c r="AD18" i="10" s="1"/>
  <c r="T17" i="10"/>
  <c r="Q18" i="10" s="1"/>
  <c r="R18" i="10" s="1"/>
  <c r="X16" i="10"/>
  <c r="Z16" i="10" s="1"/>
  <c r="V19" i="10"/>
  <c r="Y19" i="10" s="1"/>
  <c r="P23" i="10"/>
  <c r="N21" i="10"/>
  <c r="G23" i="10"/>
  <c r="L22" i="10"/>
  <c r="C23" i="10"/>
  <c r="F23" i="10"/>
  <c r="D24" i="10"/>
  <c r="E24" i="10" s="1"/>
  <c r="K23" i="10" l="1"/>
  <c r="AC17" i="10"/>
  <c r="AE17" i="10" s="1"/>
  <c r="T18" i="10"/>
  <c r="Q19" i="10" s="1"/>
  <c r="V20" i="10"/>
  <c r="Y20" i="10" s="1"/>
  <c r="S19" i="10"/>
  <c r="AD19" i="10" s="1"/>
  <c r="P24" i="10"/>
  <c r="W17" i="10"/>
  <c r="N22" i="10"/>
  <c r="G24" i="10"/>
  <c r="L23" i="10"/>
  <c r="C24" i="10"/>
  <c r="F24" i="10"/>
  <c r="D25" i="10"/>
  <c r="E25" i="10" s="1"/>
  <c r="K24" i="10" l="1"/>
  <c r="AB18" i="10"/>
  <c r="S20" i="10"/>
  <c r="AD20" i="10" s="1"/>
  <c r="V21" i="10"/>
  <c r="Y21" i="10" s="1"/>
  <c r="X17" i="10"/>
  <c r="Z17" i="10" s="1"/>
  <c r="P25" i="10"/>
  <c r="R19" i="10"/>
  <c r="T19" i="10" s="1"/>
  <c r="N23" i="10"/>
  <c r="G25" i="10"/>
  <c r="L24" i="10"/>
  <c r="C25" i="10"/>
  <c r="F25" i="10"/>
  <c r="D26" i="10"/>
  <c r="E26" i="10" s="1"/>
  <c r="K25" i="10" l="1"/>
  <c r="AC18" i="10"/>
  <c r="AE18" i="10" s="1"/>
  <c r="AB19" i="10" s="1"/>
  <c r="S21" i="10"/>
  <c r="AD21" i="10" s="1"/>
  <c r="V22" i="10"/>
  <c r="Y22" i="10" s="1"/>
  <c r="P26" i="10"/>
  <c r="W18" i="10"/>
  <c r="Q20" i="10"/>
  <c r="N24" i="10"/>
  <c r="G26" i="10"/>
  <c r="L25" i="10"/>
  <c r="C26" i="10"/>
  <c r="F26" i="10"/>
  <c r="D27" i="10"/>
  <c r="E27" i="10" s="1"/>
  <c r="K26" i="10" l="1"/>
  <c r="AC19" i="10"/>
  <c r="AE19" i="10" s="1"/>
  <c r="S22" i="10"/>
  <c r="AD22" i="10" s="1"/>
  <c r="V23" i="10"/>
  <c r="Y23" i="10" s="1"/>
  <c r="S23" i="10" s="1"/>
  <c r="AD23" i="10" s="1"/>
  <c r="X18" i="10"/>
  <c r="Z18" i="10" s="1"/>
  <c r="P27" i="10"/>
  <c r="R20" i="10"/>
  <c r="T20" i="10" s="1"/>
  <c r="N25" i="10"/>
  <c r="G27" i="10"/>
  <c r="L26" i="10"/>
  <c r="C27" i="10"/>
  <c r="F27" i="10"/>
  <c r="D28" i="10"/>
  <c r="E28" i="10" s="1"/>
  <c r="K27" i="10" l="1"/>
  <c r="AB20" i="10"/>
  <c r="V24" i="10"/>
  <c r="Y24" i="10" s="1"/>
  <c r="P28" i="10"/>
  <c r="W19" i="10"/>
  <c r="Q21" i="10"/>
  <c r="N26" i="10"/>
  <c r="G28" i="10"/>
  <c r="L27" i="10"/>
  <c r="C28" i="10"/>
  <c r="F28" i="10"/>
  <c r="D29" i="10"/>
  <c r="E29" i="10" s="1"/>
  <c r="K28" i="10" l="1"/>
  <c r="AC20" i="10"/>
  <c r="AE20" i="10" s="1"/>
  <c r="S24" i="10"/>
  <c r="AD24" i="10" s="1"/>
  <c r="V25" i="10"/>
  <c r="Y25" i="10" s="1"/>
  <c r="X19" i="10"/>
  <c r="Z19" i="10" s="1"/>
  <c r="P29" i="10"/>
  <c r="R21" i="10"/>
  <c r="T21" i="10" s="1"/>
  <c r="N27" i="10"/>
  <c r="G29" i="10"/>
  <c r="L28" i="10"/>
  <c r="C29" i="10"/>
  <c r="F29" i="10"/>
  <c r="D30" i="10"/>
  <c r="E30" i="10" s="1"/>
  <c r="K29" i="10" l="1"/>
  <c r="AB21" i="10"/>
  <c r="S25" i="10"/>
  <c r="AD25" i="10" s="1"/>
  <c r="V26" i="10"/>
  <c r="Y26" i="10" s="1"/>
  <c r="P30" i="10"/>
  <c r="W20" i="10"/>
  <c r="Q22" i="10"/>
  <c r="N28" i="10"/>
  <c r="G30" i="10"/>
  <c r="L29" i="10"/>
  <c r="C30" i="10"/>
  <c r="F30" i="10"/>
  <c r="D31" i="10"/>
  <c r="E31" i="10" s="1"/>
  <c r="K30" i="10" l="1"/>
  <c r="AC21" i="10"/>
  <c r="AE21" i="10" s="1"/>
  <c r="S26" i="10"/>
  <c r="AD26" i="10" s="1"/>
  <c r="V27" i="10"/>
  <c r="Y27" i="10" s="1"/>
  <c r="S27" i="10" s="1"/>
  <c r="AD27" i="10" s="1"/>
  <c r="X20" i="10"/>
  <c r="Z20" i="10" s="1"/>
  <c r="P31" i="10"/>
  <c r="R22" i="10"/>
  <c r="T22" i="10" s="1"/>
  <c r="N29" i="10"/>
  <c r="G31" i="10"/>
  <c r="L30" i="10"/>
  <c r="C31" i="10"/>
  <c r="F31" i="10"/>
  <c r="D32" i="10"/>
  <c r="E32" i="10" s="1"/>
  <c r="K31" i="10" l="1"/>
  <c r="AB22" i="10"/>
  <c r="V28" i="10"/>
  <c r="Y28" i="10" s="1"/>
  <c r="P32" i="10"/>
  <c r="W21" i="10"/>
  <c r="Q23" i="10"/>
  <c r="N30" i="10"/>
  <c r="G32" i="10"/>
  <c r="L31" i="10"/>
  <c r="C32" i="10"/>
  <c r="F32" i="10"/>
  <c r="D33" i="10"/>
  <c r="E33" i="10" s="1"/>
  <c r="K32" i="10" l="1"/>
  <c r="AC22" i="10"/>
  <c r="AE22" i="10" s="1"/>
  <c r="S28" i="10"/>
  <c r="AD28" i="10" s="1"/>
  <c r="X21" i="10"/>
  <c r="Z21" i="10" s="1"/>
  <c r="V29" i="10"/>
  <c r="Y29" i="10" s="1"/>
  <c r="P33" i="10"/>
  <c r="R23" i="10"/>
  <c r="T23" i="10" s="1"/>
  <c r="N31" i="10"/>
  <c r="G33" i="10"/>
  <c r="L32" i="10"/>
  <c r="C33" i="10"/>
  <c r="F33" i="10"/>
  <c r="D34" i="10"/>
  <c r="E34" i="10" s="1"/>
  <c r="K33" i="10" l="1"/>
  <c r="AB23" i="10"/>
  <c r="S29" i="10"/>
  <c r="AD29" i="10" s="1"/>
  <c r="V30" i="10"/>
  <c r="Y30" i="10" s="1"/>
  <c r="P34" i="10"/>
  <c r="W22" i="10"/>
  <c r="Q24" i="10"/>
  <c r="N32" i="10"/>
  <c r="G34" i="10"/>
  <c r="L33" i="10"/>
  <c r="C34" i="10"/>
  <c r="F34" i="10"/>
  <c r="D35" i="10"/>
  <c r="E35" i="10" s="1"/>
  <c r="K34" i="10" l="1"/>
  <c r="AC23" i="10"/>
  <c r="AE23" i="10" s="1"/>
  <c r="V31" i="10"/>
  <c r="Y31" i="10" s="1"/>
  <c r="S30" i="10"/>
  <c r="AD30" i="10" s="1"/>
  <c r="X22" i="10"/>
  <c r="Z22" i="10" s="1"/>
  <c r="P35" i="10"/>
  <c r="R24" i="10"/>
  <c r="T24" i="10" s="1"/>
  <c r="N33" i="10"/>
  <c r="G35" i="10"/>
  <c r="L34" i="10"/>
  <c r="C35" i="10"/>
  <c r="F35" i="10"/>
  <c r="D36" i="10"/>
  <c r="E36" i="10" s="1"/>
  <c r="K35" i="10" l="1"/>
  <c r="AB24" i="10"/>
  <c r="S31" i="10"/>
  <c r="AD31" i="10" s="1"/>
  <c r="V32" i="10"/>
  <c r="Y32" i="10" s="1"/>
  <c r="S32" i="10" s="1"/>
  <c r="AD32" i="10" s="1"/>
  <c r="P36" i="10"/>
  <c r="W23" i="10"/>
  <c r="Q25" i="10"/>
  <c r="N34" i="10"/>
  <c r="G36" i="10"/>
  <c r="L35" i="10"/>
  <c r="C36" i="10"/>
  <c r="F36" i="10"/>
  <c r="D37" i="10"/>
  <c r="E37" i="10" s="1"/>
  <c r="K36" i="10" l="1"/>
  <c r="AC24" i="10"/>
  <c r="AE24" i="10" s="1"/>
  <c r="X23" i="10"/>
  <c r="Z23" i="10" s="1"/>
  <c r="V33" i="10"/>
  <c r="Y33" i="10" s="1"/>
  <c r="P37" i="10"/>
  <c r="R25" i="10"/>
  <c r="T25" i="10" s="1"/>
  <c r="N35" i="10"/>
  <c r="G37" i="10"/>
  <c r="C37" i="10"/>
  <c r="L36" i="10"/>
  <c r="F37" i="10"/>
  <c r="D38" i="10"/>
  <c r="E38" i="10" s="1"/>
  <c r="K37" i="10" l="1"/>
  <c r="AB25" i="10"/>
  <c r="V34" i="10"/>
  <c r="Y34" i="10" s="1"/>
  <c r="S33" i="10"/>
  <c r="AD33" i="10" s="1"/>
  <c r="P38" i="10"/>
  <c r="W24" i="10"/>
  <c r="Q26" i="10"/>
  <c r="N36" i="10"/>
  <c r="G38" i="10"/>
  <c r="L37" i="10"/>
  <c r="C38" i="10"/>
  <c r="F38" i="10"/>
  <c r="D39" i="10"/>
  <c r="E39" i="10" s="1"/>
  <c r="K38" i="10" l="1"/>
  <c r="AC25" i="10"/>
  <c r="AE25" i="10" s="1"/>
  <c r="V35" i="10"/>
  <c r="Y35" i="10" s="1"/>
  <c r="S34" i="10"/>
  <c r="AD34" i="10" s="1"/>
  <c r="X24" i="10"/>
  <c r="Z24" i="10" s="1"/>
  <c r="P39" i="10"/>
  <c r="R26" i="10"/>
  <c r="T26" i="10" s="1"/>
  <c r="N37" i="10"/>
  <c r="G39" i="10"/>
  <c r="L38" i="10"/>
  <c r="C39" i="10"/>
  <c r="F39" i="10"/>
  <c r="D40" i="10"/>
  <c r="E40" i="10" s="1"/>
  <c r="K39" i="10" l="1"/>
  <c r="D41" i="10"/>
  <c r="AB26" i="10"/>
  <c r="S35" i="10"/>
  <c r="AD35" i="10" s="1"/>
  <c r="V36" i="10"/>
  <c r="Y36" i="10" s="1"/>
  <c r="P40" i="10"/>
  <c r="W25" i="10"/>
  <c r="Q27" i="10"/>
  <c r="N38" i="10"/>
  <c r="G40" i="10"/>
  <c r="L39" i="10"/>
  <c r="C40" i="10"/>
  <c r="F40" i="10"/>
  <c r="D42" i="10" l="1"/>
  <c r="E42" i="10" s="1"/>
  <c r="E41" i="10"/>
  <c r="C41" i="10"/>
  <c r="P41" i="10"/>
  <c r="G41" i="10"/>
  <c r="K40" i="10"/>
  <c r="AC26" i="10"/>
  <c r="AE26" i="10" s="1"/>
  <c r="S36" i="10"/>
  <c r="AD36" i="10" s="1"/>
  <c r="X25" i="10"/>
  <c r="Z25" i="10" s="1"/>
  <c r="V37" i="10"/>
  <c r="Y37" i="10" s="1"/>
  <c r="S37" i="10" s="1"/>
  <c r="AD37" i="10" s="1"/>
  <c r="R27" i="10"/>
  <c r="T27" i="10" s="1"/>
  <c r="N39" i="10"/>
  <c r="L40" i="10"/>
  <c r="D43" i="10" l="1"/>
  <c r="E43" i="10" s="1"/>
  <c r="G42" i="10"/>
  <c r="P42" i="10"/>
  <c r="F42" i="10"/>
  <c r="C42" i="10"/>
  <c r="K41" i="10"/>
  <c r="K42" i="10"/>
  <c r="L42" i="10"/>
  <c r="F41" i="10"/>
  <c r="L41" i="10"/>
  <c r="AB27" i="10"/>
  <c r="V38" i="10"/>
  <c r="Y38" i="10" s="1"/>
  <c r="W26" i="10"/>
  <c r="N40" i="10"/>
  <c r="Q28" i="10"/>
  <c r="F43" i="10" l="1"/>
  <c r="G43" i="10"/>
  <c r="D44" i="10"/>
  <c r="E44" i="10" s="1"/>
  <c r="C43" i="10"/>
  <c r="P43" i="10"/>
  <c r="K43" i="10"/>
  <c r="N41" i="10"/>
  <c r="N42" i="10"/>
  <c r="L43" i="10"/>
  <c r="AC27" i="10"/>
  <c r="AE27" i="10" s="1"/>
  <c r="S38" i="10"/>
  <c r="AD38" i="10" s="1"/>
  <c r="X26" i="10"/>
  <c r="Z26" i="10" s="1"/>
  <c r="V39" i="10"/>
  <c r="Y39" i="10" s="1"/>
  <c r="R28" i="10"/>
  <c r="T28" i="10" s="1"/>
  <c r="G44" i="10" l="1"/>
  <c r="C44" i="10"/>
  <c r="D45" i="10"/>
  <c r="E45" i="10" s="1"/>
  <c r="P44" i="10"/>
  <c r="K44" i="10"/>
  <c r="N43" i="10"/>
  <c r="F44" i="10"/>
  <c r="L44" i="10"/>
  <c r="AB28" i="10"/>
  <c r="S39" i="10"/>
  <c r="AD39" i="10" s="1"/>
  <c r="V40" i="10"/>
  <c r="W27" i="10"/>
  <c r="Q29" i="10"/>
  <c r="P45" i="10" l="1"/>
  <c r="G45" i="10"/>
  <c r="F45" i="10"/>
  <c r="C45" i="10"/>
  <c r="D46" i="10"/>
  <c r="AE46" i="10" s="1"/>
  <c r="K45" i="10"/>
  <c r="N44" i="10"/>
  <c r="L45" i="10"/>
  <c r="Y40" i="10"/>
  <c r="V41" i="10" s="1"/>
  <c r="AC28" i="10"/>
  <c r="AE28" i="10" s="1"/>
  <c r="X27" i="10"/>
  <c r="Z27" i="10" s="1"/>
  <c r="R29" i="10"/>
  <c r="T29" i="10" s="1"/>
  <c r="F46" i="10" l="1"/>
  <c r="C46" i="10"/>
  <c r="Q46" i="10"/>
  <c r="K46" i="10"/>
  <c r="N46" i="10"/>
  <c r="S46" i="10"/>
  <c r="P46" i="10"/>
  <c r="V46" i="10"/>
  <c r="X46" i="10"/>
  <c r="L46" i="10"/>
  <c r="T46" i="10"/>
  <c r="Z46" i="10"/>
  <c r="AB46" i="10"/>
  <c r="W46" i="10"/>
  <c r="Y46" i="10"/>
  <c r="D47" i="10"/>
  <c r="AE47" i="10" s="1"/>
  <c r="E46" i="10"/>
  <c r="R46" i="10"/>
  <c r="AC46" i="10"/>
  <c r="G46" i="10"/>
  <c r="AD46" i="10"/>
  <c r="N45" i="10"/>
  <c r="Y41" i="10"/>
  <c r="S41" i="10" s="1"/>
  <c r="AD41" i="10" s="1"/>
  <c r="S40" i="10"/>
  <c r="AD40" i="10" s="1"/>
  <c r="AB29" i="10"/>
  <c r="W28" i="10"/>
  <c r="Q30" i="10"/>
  <c r="Z47" i="10" l="1"/>
  <c r="K47" i="10"/>
  <c r="Y47" i="10"/>
  <c r="T47" i="10"/>
  <c r="W47" i="10"/>
  <c r="C47" i="10"/>
  <c r="L47" i="10"/>
  <c r="X47" i="10"/>
  <c r="N47" i="10"/>
  <c r="G47" i="10"/>
  <c r="F47" i="10"/>
  <c r="Q47" i="10"/>
  <c r="D48" i="10"/>
  <c r="E48" i="10" s="1"/>
  <c r="AB47" i="10"/>
  <c r="P47" i="10"/>
  <c r="R47" i="10"/>
  <c r="V47" i="10"/>
  <c r="E47" i="10"/>
  <c r="S47" i="10"/>
  <c r="AC47" i="10"/>
  <c r="AD47" i="10"/>
  <c r="V42" i="10"/>
  <c r="AC29" i="10"/>
  <c r="AE29" i="10" s="1"/>
  <c r="X28" i="10"/>
  <c r="Z28" i="10" s="1"/>
  <c r="R30" i="10"/>
  <c r="T30" i="10" s="1"/>
  <c r="I32" i="8"/>
  <c r="I34" i="8"/>
  <c r="I23" i="8"/>
  <c r="I31" i="8"/>
  <c r="I28" i="8"/>
  <c r="I26" i="8"/>
  <c r="I25" i="8"/>
  <c r="I27" i="8"/>
  <c r="I30" i="8"/>
  <c r="I35" i="8"/>
  <c r="I33" i="8"/>
  <c r="I29" i="8"/>
  <c r="F34" i="8"/>
  <c r="H34" i="8" s="1"/>
  <c r="F23" i="8"/>
  <c r="I24" i="8"/>
  <c r="F24" i="8"/>
  <c r="H24" i="8" s="1"/>
  <c r="F26" i="8"/>
  <c r="H26" i="8" s="1"/>
  <c r="F30" i="8"/>
  <c r="H30" i="8" s="1"/>
  <c r="F27" i="8"/>
  <c r="H27" i="8" s="1"/>
  <c r="F39" i="8"/>
  <c r="F29" i="8"/>
  <c r="H29" i="8" s="1"/>
  <c r="F25" i="8"/>
  <c r="H25" i="8" s="1"/>
  <c r="F31" i="8"/>
  <c r="H31" i="8" s="1"/>
  <c r="F28" i="8"/>
  <c r="H28" i="8" s="1"/>
  <c r="F32" i="8"/>
  <c r="H32" i="8" s="1"/>
  <c r="F33" i="8"/>
  <c r="H33" i="8" s="1"/>
  <c r="F35" i="8"/>
  <c r="H35" i="8" s="1"/>
  <c r="P48" i="10" l="1"/>
  <c r="Y48" i="10"/>
  <c r="N48" i="10"/>
  <c r="R48" i="10"/>
  <c r="AC48" i="10"/>
  <c r="Q48" i="10"/>
  <c r="L48" i="10"/>
  <c r="G48" i="10"/>
  <c r="X48" i="10"/>
  <c r="AE48" i="10"/>
  <c r="AD48" i="10"/>
  <c r="K48" i="10"/>
  <c r="Z48" i="10"/>
  <c r="AB48" i="10"/>
  <c r="F48" i="10"/>
  <c r="D49" i="10"/>
  <c r="AE49" i="10" s="1"/>
  <c r="T48" i="10"/>
  <c r="C48" i="10"/>
  <c r="V48" i="10"/>
  <c r="W48" i="10"/>
  <c r="S48" i="10"/>
  <c r="Y42" i="10"/>
  <c r="S42" i="10" s="1"/>
  <c r="AD42" i="10" s="1"/>
  <c r="AB30" i="10"/>
  <c r="W29" i="10"/>
  <c r="C12" i="8"/>
  <c r="H23" i="8"/>
  <c r="J31" i="8" s="1"/>
  <c r="D14" i="8"/>
  <c r="G27" i="8"/>
  <c r="G23" i="8"/>
  <c r="G32" i="8"/>
  <c r="G29" i="8"/>
  <c r="G30" i="8"/>
  <c r="G26" i="8"/>
  <c r="G24" i="8"/>
  <c r="G25" i="8"/>
  <c r="G35" i="8"/>
  <c r="G34" i="8"/>
  <c r="G31" i="8"/>
  <c r="G28" i="8"/>
  <c r="G33" i="8"/>
  <c r="L49" i="10" l="1"/>
  <c r="N49" i="10"/>
  <c r="F49" i="10"/>
  <c r="C49" i="10"/>
  <c r="Q49" i="10"/>
  <c r="S49" i="10"/>
  <c r="Y49" i="10"/>
  <c r="T49" i="10"/>
  <c r="P49" i="10"/>
  <c r="V49" i="10"/>
  <c r="E49" i="10"/>
  <c r="G49" i="10"/>
  <c r="R49" i="10"/>
  <c r="AB49" i="10"/>
  <c r="W49" i="10"/>
  <c r="Z49" i="10"/>
  <c r="K49" i="10"/>
  <c r="X49" i="10"/>
  <c r="AD49" i="10"/>
  <c r="D50" i="10"/>
  <c r="K50" i="10" s="1"/>
  <c r="AC49" i="10"/>
  <c r="V43" i="10"/>
  <c r="AC30" i="10"/>
  <c r="AE30" i="10" s="1"/>
  <c r="X29" i="10"/>
  <c r="Z29" i="10" s="1"/>
  <c r="W30" i="10" s="1"/>
  <c r="Q31" i="10"/>
  <c r="C9" i="8"/>
  <c r="C14" i="8"/>
  <c r="J25" i="8"/>
  <c r="J26" i="8"/>
  <c r="J34" i="8"/>
  <c r="J29" i="8"/>
  <c r="J28" i="8"/>
  <c r="J32" i="8"/>
  <c r="J33" i="8"/>
  <c r="J35" i="8"/>
  <c r="J23" i="8"/>
  <c r="J30" i="8"/>
  <c r="J27" i="8"/>
  <c r="J24" i="8"/>
  <c r="R50" i="10" l="1"/>
  <c r="Z50" i="10"/>
  <c r="E50" i="10"/>
  <c r="AE50" i="10"/>
  <c r="P50" i="10"/>
  <c r="Y50" i="10"/>
  <c r="N50" i="10"/>
  <c r="Q50" i="10"/>
  <c r="S50" i="10"/>
  <c r="G50" i="10"/>
  <c r="AD50" i="10"/>
  <c r="V50" i="10"/>
  <c r="AC50" i="10"/>
  <c r="C50" i="10"/>
  <c r="W50" i="10"/>
  <c r="L50" i="10"/>
  <c r="F50" i="10"/>
  <c r="D51" i="10"/>
  <c r="E51" i="10" s="1"/>
  <c r="T50" i="10"/>
  <c r="AB50" i="10"/>
  <c r="X50" i="10"/>
  <c r="Y43" i="10"/>
  <c r="S43" i="10" s="1"/>
  <c r="AD43" i="10" s="1"/>
  <c r="X30" i="10"/>
  <c r="Z30" i="10" s="1"/>
  <c r="R31" i="10"/>
  <c r="T31" i="10" s="1"/>
  <c r="C20" i="8"/>
  <c r="C19" i="8"/>
  <c r="C18" i="8"/>
  <c r="C15" i="8"/>
  <c r="K51" i="10" l="1"/>
  <c r="D52" i="10"/>
  <c r="E52" i="10" s="1"/>
  <c r="W51" i="10"/>
  <c r="L51" i="10"/>
  <c r="AD51" i="10"/>
  <c r="P51" i="10"/>
  <c r="Y51" i="10"/>
  <c r="AE51" i="10"/>
  <c r="F51" i="10"/>
  <c r="AC51" i="10"/>
  <c r="AB51" i="10"/>
  <c r="X51" i="10"/>
  <c r="S51" i="10"/>
  <c r="Q51" i="10"/>
  <c r="R51" i="10"/>
  <c r="G51" i="10"/>
  <c r="C51" i="10"/>
  <c r="N51" i="10"/>
  <c r="Z51" i="10"/>
  <c r="T51" i="10"/>
  <c r="V51" i="10"/>
  <c r="V44" i="10"/>
  <c r="AB31" i="10"/>
  <c r="W31" i="10"/>
  <c r="K52" i="10" l="1"/>
  <c r="AD52" i="10"/>
  <c r="W52" i="10"/>
  <c r="AB52" i="10"/>
  <c r="Q52" i="10"/>
  <c r="T52" i="10"/>
  <c r="V52" i="10"/>
  <c r="G52" i="10"/>
  <c r="N52" i="10"/>
  <c r="P52" i="10"/>
  <c r="S52" i="10"/>
  <c r="C52" i="10"/>
  <c r="R52" i="10"/>
  <c r="AE52" i="10"/>
  <c r="L52" i="10"/>
  <c r="AC52" i="10"/>
  <c r="F52" i="10"/>
  <c r="D53" i="10"/>
  <c r="AE53" i="10" s="1"/>
  <c r="Y52" i="10"/>
  <c r="Z52" i="10"/>
  <c r="X52" i="10"/>
  <c r="Y44" i="10"/>
  <c r="S44" i="10" s="1"/>
  <c r="AD44" i="10" s="1"/>
  <c r="AC31" i="10"/>
  <c r="AE31" i="10" s="1"/>
  <c r="X31" i="10"/>
  <c r="Z31" i="10" s="1"/>
  <c r="Q32" i="10"/>
  <c r="AC53" i="10" l="1"/>
  <c r="R53" i="10"/>
  <c r="E53" i="10"/>
  <c r="W53" i="10"/>
  <c r="S53" i="10"/>
  <c r="P53" i="10"/>
  <c r="G53" i="10"/>
  <c r="Z53" i="10"/>
  <c r="F53" i="10"/>
  <c r="L53" i="10"/>
  <c r="T53" i="10"/>
  <c r="N53" i="10"/>
  <c r="X53" i="10"/>
  <c r="Q53" i="10"/>
  <c r="K53" i="10"/>
  <c r="D54" i="10"/>
  <c r="E54" i="10" s="1"/>
  <c r="AB53" i="10"/>
  <c r="C53" i="10"/>
  <c r="V53" i="10"/>
  <c r="AD53" i="10"/>
  <c r="Y53" i="10"/>
  <c r="V45" i="10"/>
  <c r="Y45" i="10" s="1"/>
  <c r="S45" i="10" s="1"/>
  <c r="AD45" i="10" s="1"/>
  <c r="W32" i="10"/>
  <c r="R32" i="10"/>
  <c r="T32" i="10" s="1"/>
  <c r="L54" i="10" l="1"/>
  <c r="C54" i="10"/>
  <c r="N54" i="10"/>
  <c r="V54" i="10"/>
  <c r="W54" i="10"/>
  <c r="F54" i="10"/>
  <c r="D55" i="10"/>
  <c r="Z55" i="10" s="1"/>
  <c r="P54" i="10"/>
  <c r="G54" i="10"/>
  <c r="R54" i="10"/>
  <c r="S54" i="10"/>
  <c r="K54" i="10"/>
  <c r="T54" i="10"/>
  <c r="Q54" i="10"/>
  <c r="Y54" i="10"/>
  <c r="AC54" i="10"/>
  <c r="AB54" i="10"/>
  <c r="Z54" i="10"/>
  <c r="AD54" i="10"/>
  <c r="AE54" i="10"/>
  <c r="X54" i="10"/>
  <c r="AB32" i="10"/>
  <c r="X32" i="10"/>
  <c r="Z32" i="10" s="1"/>
  <c r="Q33" i="10"/>
  <c r="AC55" i="10" l="1"/>
  <c r="S55" i="10"/>
  <c r="AE55" i="10"/>
  <c r="AD55" i="10"/>
  <c r="Y55" i="10"/>
  <c r="AB55" i="10"/>
  <c r="D56" i="10"/>
  <c r="K56" i="10" s="1"/>
  <c r="P55" i="10"/>
  <c r="R55" i="10"/>
  <c r="V55" i="10"/>
  <c r="K55" i="10"/>
  <c r="N55" i="10"/>
  <c r="T55" i="10"/>
  <c r="F55" i="10"/>
  <c r="G55" i="10"/>
  <c r="Q55" i="10"/>
  <c r="E55" i="10"/>
  <c r="C55" i="10"/>
  <c r="L55" i="10"/>
  <c r="W55" i="10"/>
  <c r="X55" i="10"/>
  <c r="AC32" i="10"/>
  <c r="AE32" i="10" s="1"/>
  <c r="W33" i="10"/>
  <c r="R33" i="10"/>
  <c r="T33" i="10" s="1"/>
  <c r="Q34" i="10" s="1"/>
  <c r="R56" i="10" l="1"/>
  <c r="F56" i="10"/>
  <c r="S56" i="10"/>
  <c r="Y56" i="10"/>
  <c r="D57" i="10"/>
  <c r="AE57" i="10" s="1"/>
  <c r="V56" i="10"/>
  <c r="L56" i="10"/>
  <c r="Q56" i="10"/>
  <c r="C56" i="10"/>
  <c r="P56" i="10"/>
  <c r="W56" i="10"/>
  <c r="AC56" i="10"/>
  <c r="AE56" i="10"/>
  <c r="G56" i="10"/>
  <c r="N56" i="10"/>
  <c r="E56" i="10"/>
  <c r="Z56" i="10"/>
  <c r="T56" i="10"/>
  <c r="AB56" i="10"/>
  <c r="AD56" i="10"/>
  <c r="X56" i="10"/>
  <c r="AB33" i="10"/>
  <c r="X33" i="10"/>
  <c r="Z33" i="10" s="1"/>
  <c r="R34" i="10"/>
  <c r="T34" i="10" s="1"/>
  <c r="Q35" i="10" s="1"/>
  <c r="R57" i="10" l="1"/>
  <c r="G57" i="10"/>
  <c r="Z57" i="10"/>
  <c r="AB57" i="10"/>
  <c r="W57" i="10"/>
  <c r="C57" i="10"/>
  <c r="F57" i="10"/>
  <c r="E57" i="10"/>
  <c r="L57" i="10"/>
  <c r="N57" i="10"/>
  <c r="Q57" i="10"/>
  <c r="Y57" i="10"/>
  <c r="S57" i="10"/>
  <c r="T57" i="10"/>
  <c r="P57" i="10"/>
  <c r="V57" i="10"/>
  <c r="K57" i="10"/>
  <c r="AD57" i="10"/>
  <c r="X57" i="10"/>
  <c r="D58" i="10"/>
  <c r="Y58" i="10" s="1"/>
  <c r="AC57" i="10"/>
  <c r="AC33" i="10"/>
  <c r="AE33" i="10" s="1"/>
  <c r="R35" i="10"/>
  <c r="T35" i="10" s="1"/>
  <c r="Q36" i="10" s="1"/>
  <c r="F58" i="10" l="1"/>
  <c r="T58" i="10"/>
  <c r="L58" i="10"/>
  <c r="R58" i="10"/>
  <c r="AB58" i="10"/>
  <c r="AC58" i="10"/>
  <c r="AD58" i="10"/>
  <c r="C58" i="10"/>
  <c r="AE58" i="10"/>
  <c r="E58" i="10"/>
  <c r="D59" i="10"/>
  <c r="AB59" i="10" s="1"/>
  <c r="V58" i="10"/>
  <c r="S58" i="10"/>
  <c r="Q58" i="10"/>
  <c r="G58" i="10"/>
  <c r="W58" i="10"/>
  <c r="Z58" i="10"/>
  <c r="K58" i="10"/>
  <c r="X58" i="10"/>
  <c r="P58" i="10"/>
  <c r="N58" i="10"/>
  <c r="AB34" i="10"/>
  <c r="W34" i="10"/>
  <c r="R36" i="10"/>
  <c r="T36" i="10" s="1"/>
  <c r="Q37" i="10" s="1"/>
  <c r="T59" i="10" l="1"/>
  <c r="AE59" i="10"/>
  <c r="E59" i="10"/>
  <c r="F59" i="10"/>
  <c r="V59" i="10"/>
  <c r="W59" i="10"/>
  <c r="Z59" i="10"/>
  <c r="AD59" i="10"/>
  <c r="G59" i="10"/>
  <c r="Y59" i="10"/>
  <c r="Q59" i="10"/>
  <c r="P59" i="10"/>
  <c r="AC59" i="10"/>
  <c r="C59" i="10"/>
  <c r="L59" i="10"/>
  <c r="K59" i="10"/>
  <c r="X59" i="10"/>
  <c r="D60" i="10"/>
  <c r="E60" i="10" s="1"/>
  <c r="N59" i="10"/>
  <c r="S59" i="10"/>
  <c r="R59" i="10"/>
  <c r="AC34" i="10"/>
  <c r="AE34" i="10" s="1"/>
  <c r="X34" i="10"/>
  <c r="Z34" i="10" s="1"/>
  <c r="R37" i="10"/>
  <c r="T37" i="10" s="1"/>
  <c r="Q38" i="10" s="1"/>
  <c r="N60" i="10" l="1"/>
  <c r="F60" i="10"/>
  <c r="V60" i="10"/>
  <c r="AE60" i="10"/>
  <c r="T60" i="10"/>
  <c r="K60" i="10"/>
  <c r="Q60" i="10"/>
  <c r="S60" i="10"/>
  <c r="AC60" i="10"/>
  <c r="C60" i="10"/>
  <c r="Y60" i="10"/>
  <c r="D61" i="10"/>
  <c r="W61" i="10" s="1"/>
  <c r="AB60" i="10"/>
  <c r="R60" i="10"/>
  <c r="G60" i="10"/>
  <c r="AD60" i="10"/>
  <c r="Z60" i="10"/>
  <c r="W60" i="10"/>
  <c r="L60" i="10"/>
  <c r="X60" i="10"/>
  <c r="P60" i="10"/>
  <c r="R38" i="10"/>
  <c r="T38" i="10" s="1"/>
  <c r="Q39" i="10" s="1"/>
  <c r="P61" i="10" l="1"/>
  <c r="Y61" i="10"/>
  <c r="S61" i="10"/>
  <c r="G61" i="10"/>
  <c r="L61" i="10"/>
  <c r="E61" i="10"/>
  <c r="V61" i="10"/>
  <c r="F61" i="10"/>
  <c r="AC61" i="10"/>
  <c r="AD61" i="10"/>
  <c r="AB61" i="10"/>
  <c r="D62" i="10"/>
  <c r="Y62" i="10" s="1"/>
  <c r="N61" i="10"/>
  <c r="Z61" i="10"/>
  <c r="Q61" i="10"/>
  <c r="R61" i="10"/>
  <c r="K61" i="10"/>
  <c r="C61" i="10"/>
  <c r="AE61" i="10"/>
  <c r="T61" i="10"/>
  <c r="X61" i="10"/>
  <c r="AB35" i="10"/>
  <c r="W35" i="10"/>
  <c r="R39" i="10"/>
  <c r="T39" i="10" s="1"/>
  <c r="Q40" i="10" s="1"/>
  <c r="Q62" i="10" l="1"/>
  <c r="G62" i="10"/>
  <c r="N62" i="10"/>
  <c r="AD62" i="10"/>
  <c r="D63" i="10"/>
  <c r="K63" i="10" s="1"/>
  <c r="X62" i="10"/>
  <c r="V62" i="10"/>
  <c r="S62" i="10"/>
  <c r="W62" i="10"/>
  <c r="P62" i="10"/>
  <c r="E62" i="10"/>
  <c r="L62" i="10"/>
  <c r="R62" i="10"/>
  <c r="AB62" i="10"/>
  <c r="AC62" i="10"/>
  <c r="T62" i="10"/>
  <c r="K62" i="10"/>
  <c r="AE62" i="10"/>
  <c r="Z62" i="10"/>
  <c r="F62" i="10"/>
  <c r="C62" i="10"/>
  <c r="AC35" i="10"/>
  <c r="AE35" i="10" s="1"/>
  <c r="X35" i="10"/>
  <c r="Z35" i="10" s="1"/>
  <c r="R40" i="10"/>
  <c r="T40" i="10" s="1"/>
  <c r="Q41" i="10" s="1"/>
  <c r="T63" i="10" l="1"/>
  <c r="V63" i="10"/>
  <c r="Q63" i="10"/>
  <c r="S63" i="10"/>
  <c r="W63" i="10"/>
  <c r="C63" i="10"/>
  <c r="Z63" i="10"/>
  <c r="N63" i="10"/>
  <c r="X63" i="10"/>
  <c r="D64" i="10"/>
  <c r="P64" i="10" s="1"/>
  <c r="F63" i="10"/>
  <c r="L63" i="10"/>
  <c r="E63" i="10"/>
  <c r="Y63" i="10"/>
  <c r="AC63" i="10"/>
  <c r="AB63" i="10"/>
  <c r="AE63" i="10"/>
  <c r="AD63" i="10"/>
  <c r="G63" i="10"/>
  <c r="P63" i="10"/>
  <c r="R63" i="10"/>
  <c r="R41" i="10"/>
  <c r="T41" i="10" s="1"/>
  <c r="Q42" i="10" s="1"/>
  <c r="AB36" i="10"/>
  <c r="K64" i="10" l="1"/>
  <c r="X64" i="10"/>
  <c r="AC64" i="10"/>
  <c r="F64" i="10"/>
  <c r="D65" i="10"/>
  <c r="K65" i="10" s="1"/>
  <c r="L64" i="10"/>
  <c r="G64" i="10"/>
  <c r="AE64" i="10"/>
  <c r="N64" i="10"/>
  <c r="T64" i="10"/>
  <c r="Q64" i="10"/>
  <c r="V64" i="10"/>
  <c r="Y64" i="10"/>
  <c r="Z64" i="10"/>
  <c r="C64" i="10"/>
  <c r="AD64" i="10"/>
  <c r="E64" i="10"/>
  <c r="W64" i="10"/>
  <c r="S64" i="10"/>
  <c r="R64" i="10"/>
  <c r="AB64" i="10"/>
  <c r="R42" i="10"/>
  <c r="T42" i="10" s="1"/>
  <c r="Q43" i="10" s="1"/>
  <c r="AC36" i="10"/>
  <c r="AE36" i="10" s="1"/>
  <c r="W36" i="10"/>
  <c r="AC65" i="10" l="1"/>
  <c r="D66" i="10"/>
  <c r="AD66" i="10" s="1"/>
  <c r="F65" i="10"/>
  <c r="E65" i="10"/>
  <c r="AD65" i="10"/>
  <c r="C65" i="10"/>
  <c r="Y65" i="10"/>
  <c r="L65" i="10"/>
  <c r="S65" i="10"/>
  <c r="X65" i="10"/>
  <c r="N65" i="10"/>
  <c r="R65" i="10"/>
  <c r="G65" i="10"/>
  <c r="AE65" i="10"/>
  <c r="T65" i="10"/>
  <c r="AB65" i="10"/>
  <c r="V65" i="10"/>
  <c r="P65" i="10"/>
  <c r="Q65" i="10"/>
  <c r="Z65" i="10"/>
  <c r="W65" i="10"/>
  <c r="R43" i="10"/>
  <c r="T43" i="10" s="1"/>
  <c r="Q44" i="10" s="1"/>
  <c r="AB37" i="10"/>
  <c r="X36" i="10"/>
  <c r="Z36" i="10" s="1"/>
  <c r="W37" i="10" s="1"/>
  <c r="K66" i="10" l="1"/>
  <c r="S66" i="10"/>
  <c r="AB66" i="10"/>
  <c r="W66" i="10"/>
  <c r="Y66" i="10"/>
  <c r="V66" i="10"/>
  <c r="D67" i="10"/>
  <c r="L67" i="10" s="1"/>
  <c r="R66" i="10"/>
  <c r="C66" i="10"/>
  <c r="Q66" i="10"/>
  <c r="P66" i="10"/>
  <c r="F66" i="10"/>
  <c r="N66" i="10"/>
  <c r="X66" i="10"/>
  <c r="Z66" i="10"/>
  <c r="T66" i="10"/>
  <c r="E66" i="10"/>
  <c r="AC66" i="10"/>
  <c r="AE66" i="10"/>
  <c r="L66" i="10"/>
  <c r="G66" i="10"/>
  <c r="R44" i="10"/>
  <c r="T44" i="10" s="1"/>
  <c r="Q45" i="10" s="1"/>
  <c r="AC37" i="10"/>
  <c r="AE37" i="10" s="1"/>
  <c r="X37" i="10"/>
  <c r="Z37" i="10" s="1"/>
  <c r="W38" i="10" s="1"/>
  <c r="AC67" i="10" l="1"/>
  <c r="Z67" i="10"/>
  <c r="P67" i="10"/>
  <c r="S67" i="10"/>
  <c r="R67" i="10"/>
  <c r="E67" i="10"/>
  <c r="N67" i="10"/>
  <c r="Y67" i="10"/>
  <c r="K67" i="10"/>
  <c r="T67" i="10"/>
  <c r="V67" i="10"/>
  <c r="D68" i="10"/>
  <c r="K68" i="10" s="1"/>
  <c r="AE67" i="10"/>
  <c r="AB67" i="10"/>
  <c r="Q67" i="10"/>
  <c r="X67" i="10"/>
  <c r="W67" i="10"/>
  <c r="G67" i="10"/>
  <c r="F67" i="10"/>
  <c r="AD67" i="10"/>
  <c r="C67" i="10"/>
  <c r="R45" i="10"/>
  <c r="T45" i="10" s="1"/>
  <c r="AB38" i="10"/>
  <c r="X38" i="10"/>
  <c r="Z38" i="10" s="1"/>
  <c r="W39" i="10" s="1"/>
  <c r="W68" i="10" l="1"/>
  <c r="AB68" i="10"/>
  <c r="T68" i="10"/>
  <c r="Z68" i="10"/>
  <c r="G68" i="10"/>
  <c r="N68" i="10"/>
  <c r="Q68" i="10"/>
  <c r="X68" i="10"/>
  <c r="AD68" i="10"/>
  <c r="AC68" i="10"/>
  <c r="AE68" i="10"/>
  <c r="S68" i="10"/>
  <c r="L68" i="10"/>
  <c r="R68" i="10"/>
  <c r="P68" i="10"/>
  <c r="E68" i="10"/>
  <c r="F68" i="10"/>
  <c r="V68" i="10"/>
  <c r="D69" i="10"/>
  <c r="W69" i="10" s="1"/>
  <c r="C68" i="10"/>
  <c r="Y68" i="10"/>
  <c r="AC38" i="10"/>
  <c r="AE38" i="10" s="1"/>
  <c r="X39" i="10"/>
  <c r="Z39" i="10" s="1"/>
  <c r="W40" i="10" s="1"/>
  <c r="F69" i="10" l="1"/>
  <c r="T69" i="10"/>
  <c r="P69" i="10"/>
  <c r="N69" i="10"/>
  <c r="S69" i="10"/>
  <c r="R69" i="10"/>
  <c r="K69" i="10"/>
  <c r="Q69" i="10"/>
  <c r="AD69" i="10"/>
  <c r="AE69" i="10"/>
  <c r="AB69" i="10"/>
  <c r="G69" i="10"/>
  <c r="D70" i="10"/>
  <c r="K70" i="10" s="1"/>
  <c r="AC69" i="10"/>
  <c r="C69" i="10"/>
  <c r="L69" i="10"/>
  <c r="E69" i="10"/>
  <c r="X69" i="10"/>
  <c r="Z69" i="10"/>
  <c r="V69" i="10"/>
  <c r="Y69" i="10"/>
  <c r="AB39" i="10"/>
  <c r="X40" i="10"/>
  <c r="Z40" i="10" s="1"/>
  <c r="W41" i="10" s="1"/>
  <c r="N70" i="10" l="1"/>
  <c r="AB70" i="10"/>
  <c r="AC70" i="10"/>
  <c r="Y70" i="10"/>
  <c r="C70" i="10"/>
  <c r="F70" i="10"/>
  <c r="Z70" i="10"/>
  <c r="R70" i="10"/>
  <c r="G70" i="10"/>
  <c r="AD70" i="10"/>
  <c r="Q70" i="10"/>
  <c r="W70" i="10"/>
  <c r="L70" i="10"/>
  <c r="X70" i="10"/>
  <c r="P70" i="10"/>
  <c r="E70" i="10"/>
  <c r="S70" i="10"/>
  <c r="D71" i="10"/>
  <c r="AB71" i="10" s="1"/>
  <c r="V70" i="10"/>
  <c r="AE70" i="10"/>
  <c r="T70" i="10"/>
  <c r="X41" i="10"/>
  <c r="Z41" i="10" s="1"/>
  <c r="W42" i="10" s="1"/>
  <c r="AC39" i="10"/>
  <c r="AE39" i="10" s="1"/>
  <c r="C71" i="10" l="1"/>
  <c r="L71" i="10"/>
  <c r="N71" i="10"/>
  <c r="K71" i="10"/>
  <c r="S71" i="10"/>
  <c r="T71" i="10"/>
  <c r="V71" i="10"/>
  <c r="Q71" i="10"/>
  <c r="W71" i="10"/>
  <c r="Y71" i="10"/>
  <c r="D72" i="10"/>
  <c r="P72" i="10" s="1"/>
  <c r="X71" i="10"/>
  <c r="E71" i="10"/>
  <c r="Z71" i="10"/>
  <c r="AE71" i="10"/>
  <c r="G71" i="10"/>
  <c r="R71" i="10"/>
  <c r="P71" i="10"/>
  <c r="F71" i="10"/>
  <c r="AC71" i="10"/>
  <c r="AD71" i="10"/>
  <c r="X42" i="10"/>
  <c r="Z42" i="10" s="1"/>
  <c r="W43" i="10" s="1"/>
  <c r="AB40" i="10"/>
  <c r="Z72" i="10" l="1"/>
  <c r="T72" i="10"/>
  <c r="AB72" i="10"/>
  <c r="E72" i="10"/>
  <c r="AE72" i="10"/>
  <c r="L72" i="10"/>
  <c r="V72" i="10"/>
  <c r="AC72" i="10"/>
  <c r="D73" i="10"/>
  <c r="K73" i="10" s="1"/>
  <c r="R72" i="10"/>
  <c r="F72" i="10"/>
  <c r="C72" i="10"/>
  <c r="Y72" i="10"/>
  <c r="K72" i="10"/>
  <c r="Q72" i="10"/>
  <c r="G72" i="10"/>
  <c r="AD72" i="10"/>
  <c r="X72" i="10"/>
  <c r="N72" i="10"/>
  <c r="S72" i="10"/>
  <c r="W72" i="10"/>
  <c r="X43" i="10"/>
  <c r="Z43" i="10" s="1"/>
  <c r="W44" i="10" s="1"/>
  <c r="AC40" i="10"/>
  <c r="AE40" i="10" s="1"/>
  <c r="AB41" i="10" s="1"/>
  <c r="F73" i="10" l="1"/>
  <c r="L73" i="10"/>
  <c r="T73" i="10"/>
  <c r="Y73" i="10"/>
  <c r="E73" i="10"/>
  <c r="Q73" i="10"/>
  <c r="C73" i="10"/>
  <c r="X73" i="10"/>
  <c r="G73" i="10"/>
  <c r="P73" i="10"/>
  <c r="R73" i="10"/>
  <c r="AD73" i="10"/>
  <c r="D74" i="10"/>
  <c r="E74" i="10" s="1"/>
  <c r="S73" i="10"/>
  <c r="V73" i="10"/>
  <c r="AB73" i="10"/>
  <c r="AE73" i="10"/>
  <c r="N73" i="10"/>
  <c r="Z73" i="10"/>
  <c r="AC73" i="10"/>
  <c r="W73" i="10"/>
  <c r="X44" i="10"/>
  <c r="Z44" i="10" s="1"/>
  <c r="AC41" i="10"/>
  <c r="AE41" i="10" s="1"/>
  <c r="AB42" i="10" s="1"/>
  <c r="D75" i="10" l="1"/>
  <c r="K75" i="10" s="1"/>
  <c r="X74" i="10"/>
  <c r="T74" i="10"/>
  <c r="Z74" i="10"/>
  <c r="AE74" i="10"/>
  <c r="K74" i="10"/>
  <c r="L74" i="10"/>
  <c r="F74" i="10"/>
  <c r="V74" i="10"/>
  <c r="G74" i="10"/>
  <c r="AD74" i="10"/>
  <c r="AC74" i="10"/>
  <c r="W74" i="10"/>
  <c r="N74" i="10"/>
  <c r="C74" i="10"/>
  <c r="Y74" i="10"/>
  <c r="Q74" i="10"/>
  <c r="S74" i="10"/>
  <c r="R74" i="10"/>
  <c r="AB74" i="10"/>
  <c r="P74" i="10"/>
  <c r="W45" i="10"/>
  <c r="AC42" i="10"/>
  <c r="AE42" i="10" s="1"/>
  <c r="AB43" i="10" s="1"/>
  <c r="Y75" i="10" l="1"/>
  <c r="D76" i="10"/>
  <c r="T76" i="10" s="1"/>
  <c r="AE75" i="10"/>
  <c r="AB75" i="10"/>
  <c r="S75" i="10"/>
  <c r="V75" i="10"/>
  <c r="P75" i="10"/>
  <c r="AD75" i="10"/>
  <c r="N75" i="10"/>
  <c r="L75" i="10"/>
  <c r="X75" i="10"/>
  <c r="AC75" i="10"/>
  <c r="F75" i="10"/>
  <c r="T75" i="10"/>
  <c r="R75" i="10"/>
  <c r="G75" i="10"/>
  <c r="C75" i="10"/>
  <c r="Q75" i="10"/>
  <c r="Z75" i="10"/>
  <c r="W75" i="10"/>
  <c r="E75" i="10"/>
  <c r="AC43" i="10"/>
  <c r="X45" i="10"/>
  <c r="C76" i="10" l="1"/>
  <c r="N76" i="10"/>
  <c r="AB76" i="10"/>
  <c r="G76" i="10"/>
  <c r="R76" i="10"/>
  <c r="D77" i="10"/>
  <c r="E77" i="10" s="1"/>
  <c r="Y76" i="10"/>
  <c r="K76" i="10"/>
  <c r="V76" i="10"/>
  <c r="L76" i="10"/>
  <c r="AD76" i="10"/>
  <c r="E76" i="10"/>
  <c r="F76" i="10"/>
  <c r="AC76" i="10"/>
  <c r="Q76" i="10"/>
  <c r="S76" i="10"/>
  <c r="P76" i="10"/>
  <c r="AE76" i="10"/>
  <c r="W76" i="10"/>
  <c r="X76" i="10"/>
  <c r="Z76" i="10"/>
  <c r="Z45" i="10"/>
  <c r="AE43" i="10"/>
  <c r="D78" i="10" l="1"/>
  <c r="K78" i="10" s="1"/>
  <c r="T77" i="10"/>
  <c r="Q77" i="10"/>
  <c r="C77" i="10"/>
  <c r="N77" i="10"/>
  <c r="P77" i="10"/>
  <c r="Y77" i="10"/>
  <c r="AB77" i="10"/>
  <c r="K77" i="10"/>
  <c r="AE77" i="10"/>
  <c r="X77" i="10"/>
  <c r="L77" i="10"/>
  <c r="Z77" i="10"/>
  <c r="G77" i="10"/>
  <c r="R77" i="10"/>
  <c r="AD77" i="10"/>
  <c r="AC77" i="10"/>
  <c r="F77" i="10"/>
  <c r="V77" i="10"/>
  <c r="S77" i="10"/>
  <c r="W77" i="10"/>
  <c r="AB44" i="10"/>
  <c r="Q78" i="10" l="1"/>
  <c r="S78" i="10"/>
  <c r="Z78" i="10"/>
  <c r="V78" i="10"/>
  <c r="AD78" i="10"/>
  <c r="D79" i="10"/>
  <c r="Y79" i="10" s="1"/>
  <c r="G78" i="10"/>
  <c r="X78" i="10"/>
  <c r="W78" i="10"/>
  <c r="Y78" i="10"/>
  <c r="AE78" i="10"/>
  <c r="AB78" i="10"/>
  <c r="C78" i="10"/>
  <c r="N78" i="10"/>
  <c r="L78" i="10"/>
  <c r="AC78" i="10"/>
  <c r="F78" i="10"/>
  <c r="P78" i="10"/>
  <c r="T78" i="10"/>
  <c r="R78" i="10"/>
  <c r="E78" i="10"/>
  <c r="AC44" i="10"/>
  <c r="AE44" i="10" s="1"/>
  <c r="AC79" i="10" l="1"/>
  <c r="V79" i="10"/>
  <c r="W79" i="10"/>
  <c r="T79" i="10"/>
  <c r="D80" i="10"/>
  <c r="E80" i="10" s="1"/>
  <c r="Q79" i="10"/>
  <c r="AE79" i="10"/>
  <c r="C79" i="10"/>
  <c r="F79" i="10"/>
  <c r="AB79" i="10"/>
  <c r="L79" i="10"/>
  <c r="G79" i="10"/>
  <c r="AD79" i="10"/>
  <c r="R79" i="10"/>
  <c r="X79" i="10"/>
  <c r="N79" i="10"/>
  <c r="S79" i="10"/>
  <c r="P79" i="10"/>
  <c r="E79" i="10"/>
  <c r="Z79" i="10"/>
  <c r="K79" i="10"/>
  <c r="AB45" i="10"/>
  <c r="Z80" i="10" l="1"/>
  <c r="W80" i="10"/>
  <c r="D81" i="10"/>
  <c r="Y81" i="10" s="1"/>
  <c r="Y80" i="10"/>
  <c r="V80" i="10"/>
  <c r="K80" i="10"/>
  <c r="P80" i="10"/>
  <c r="AE80" i="10"/>
  <c r="L80" i="10"/>
  <c r="G80" i="10"/>
  <c r="AD80" i="10"/>
  <c r="AB80" i="10"/>
  <c r="F80" i="10"/>
  <c r="AC80" i="10"/>
  <c r="X80" i="10"/>
  <c r="C80" i="10"/>
  <c r="T80" i="10"/>
  <c r="Q80" i="10"/>
  <c r="N80" i="10"/>
  <c r="S80" i="10"/>
  <c r="R80" i="10"/>
  <c r="AC45" i="10"/>
  <c r="AE45" i="10" s="1"/>
  <c r="R81" i="10" l="1"/>
  <c r="AD81" i="10"/>
  <c r="P81" i="10"/>
  <c r="Z81" i="10"/>
  <c r="AB81" i="10"/>
  <c r="L81" i="10"/>
  <c r="Q81" i="10"/>
  <c r="X81" i="10"/>
  <c r="E81" i="10"/>
  <c r="S81" i="10"/>
  <c r="G81" i="10"/>
  <c r="F81" i="10"/>
  <c r="D82" i="10"/>
  <c r="AB82" i="10" s="1"/>
  <c r="V81" i="10"/>
  <c r="AE81" i="10"/>
  <c r="T81" i="10"/>
  <c r="K81" i="10"/>
  <c r="N81" i="10"/>
  <c r="W81" i="10"/>
  <c r="AC81" i="10"/>
  <c r="C81" i="10"/>
  <c r="V82" i="10" l="1"/>
  <c r="T82" i="10"/>
  <c r="G82" i="10"/>
  <c r="S82" i="10"/>
  <c r="W82" i="10"/>
  <c r="Y82" i="10"/>
  <c r="X82" i="10"/>
  <c r="N82" i="10"/>
  <c r="P82" i="10"/>
  <c r="L82" i="10"/>
  <c r="E82" i="10"/>
  <c r="AE82" i="10"/>
  <c r="F82" i="10"/>
  <c r="Z82" i="10"/>
  <c r="Q82" i="10"/>
  <c r="R82" i="10"/>
  <c r="K82" i="10"/>
  <c r="D83" i="10"/>
  <c r="E83" i="10" s="1"/>
  <c r="C82" i="10"/>
  <c r="AC82" i="10"/>
  <c r="AD82" i="10"/>
  <c r="E6" i="10" l="1"/>
  <c r="Z83" i="10"/>
  <c r="Z6" i="10" s="1"/>
  <c r="X83" i="10"/>
  <c r="X6" i="10" s="1"/>
  <c r="F83" i="10"/>
  <c r="F6" i="10" s="1"/>
  <c r="C83" i="10"/>
  <c r="Y83" i="10"/>
  <c r="Y6" i="10" s="1"/>
  <c r="N83" i="10"/>
  <c r="N6" i="10" s="1"/>
  <c r="D84" i="10"/>
  <c r="L84" i="10" s="1"/>
  <c r="Q83" i="10"/>
  <c r="Q6" i="10" s="1"/>
  <c r="G83" i="10"/>
  <c r="E5" i="10" s="1"/>
  <c r="AD83" i="10"/>
  <c r="AD6" i="10" s="1"/>
  <c r="V83" i="10"/>
  <c r="V6" i="10" s="1"/>
  <c r="L83" i="10"/>
  <c r="L6" i="10" s="1"/>
  <c r="AB83" i="10"/>
  <c r="AB6" i="10" s="1"/>
  <c r="AC83" i="10"/>
  <c r="AC6" i="10" s="1"/>
  <c r="T83" i="10"/>
  <c r="T6" i="10" s="1"/>
  <c r="K83" i="10"/>
  <c r="K6" i="10" s="1"/>
  <c r="R83" i="10"/>
  <c r="R6" i="10" s="1"/>
  <c r="AE83" i="10"/>
  <c r="AE6" i="10" s="1"/>
  <c r="S83" i="10"/>
  <c r="S6" i="10" s="1"/>
  <c r="W83" i="10"/>
  <c r="W6" i="10" s="1"/>
  <c r="P83" i="10"/>
  <c r="P6" i="10" s="1"/>
  <c r="T5" i="10" l="1"/>
  <c r="T4" i="10" s="1"/>
  <c r="Z5" i="10"/>
  <c r="Z4" i="10" s="1"/>
  <c r="J5" i="10"/>
  <c r="J4" i="10" s="1"/>
  <c r="R5" i="10"/>
  <c r="R4" i="10" s="1"/>
  <c r="AB5" i="10"/>
  <c r="AB4" i="10" s="1"/>
  <c r="M5" i="10"/>
  <c r="M4" i="10" s="1"/>
  <c r="AE5" i="10"/>
  <c r="AE4" i="10" s="1"/>
  <c r="P5" i="10"/>
  <c r="P4" i="10" s="1"/>
  <c r="I5" i="10"/>
  <c r="I4" i="10" s="1"/>
  <c r="S84" i="10"/>
  <c r="P84" i="10"/>
  <c r="V5" i="10"/>
  <c r="V4" i="10" s="1"/>
  <c r="S5" i="10"/>
  <c r="S4" i="10" s="1"/>
  <c r="Y5" i="10"/>
  <c r="Y4" i="10" s="1"/>
  <c r="W5" i="10"/>
  <c r="W4" i="10" s="1"/>
  <c r="Q5" i="10"/>
  <c r="Q4" i="10" s="1"/>
  <c r="Y84" i="10"/>
  <c r="W84" i="10"/>
  <c r="Q84" i="10"/>
  <c r="N5" i="10"/>
  <c r="N4" i="10" s="1"/>
  <c r="E84" i="10"/>
  <c r="D85" i="10"/>
  <c r="X85" i="10" s="1"/>
  <c r="V84" i="10"/>
  <c r="X84" i="10"/>
  <c r="G84" i="10"/>
  <c r="R84" i="10"/>
  <c r="F5" i="10"/>
  <c r="F4" i="10" s="1"/>
  <c r="AC5" i="10"/>
  <c r="AC4" i="10" s="1"/>
  <c r="L5" i="10"/>
  <c r="L4" i="10" s="1"/>
  <c r="N84" i="10"/>
  <c r="T84" i="10"/>
  <c r="Z84" i="10"/>
  <c r="AC84" i="10"/>
  <c r="AB84" i="10"/>
  <c r="K84" i="10"/>
  <c r="C84" i="10"/>
  <c r="AD84" i="10"/>
  <c r="AE84" i="10"/>
  <c r="F84" i="10"/>
  <c r="X5" i="10"/>
  <c r="X4" i="10" s="1"/>
  <c r="K5" i="10"/>
  <c r="K4" i="10" s="1"/>
  <c r="AD5" i="10"/>
  <c r="AD4" i="10" s="1"/>
  <c r="Q85" i="10" l="1"/>
  <c r="R85" i="10"/>
  <c r="E85" i="10"/>
  <c r="T85" i="10"/>
  <c r="V85" i="10"/>
  <c r="AB85" i="10"/>
  <c r="W85" i="10"/>
  <c r="AE85" i="10"/>
  <c r="S85" i="10"/>
  <c r="G85" i="10"/>
  <c r="AC85" i="10"/>
  <c r="Y85" i="10"/>
  <c r="N85" i="10"/>
  <c r="P85" i="10"/>
  <c r="Z85" i="10"/>
  <c r="D86" i="10"/>
  <c r="K86" i="10" s="1"/>
  <c r="K85" i="10"/>
  <c r="L85" i="10"/>
  <c r="F85" i="10"/>
  <c r="C85" i="10"/>
  <c r="AD85" i="10"/>
  <c r="L86" i="10" l="1"/>
  <c r="E86" i="10"/>
  <c r="AB86" i="10"/>
  <c r="Y86" i="10"/>
  <c r="F86" i="10"/>
  <c r="AC86" i="10"/>
  <c r="Z86" i="10"/>
  <c r="G86" i="10"/>
  <c r="T86" i="10"/>
  <c r="N86" i="10"/>
  <c r="D87" i="10"/>
  <c r="AC87" i="10" s="1"/>
  <c r="AE86" i="10"/>
  <c r="P86" i="10"/>
  <c r="AD86" i="10"/>
  <c r="S86" i="10"/>
  <c r="Q86" i="10"/>
  <c r="R86" i="10"/>
  <c r="C86" i="10"/>
  <c r="W86" i="10"/>
  <c r="X86" i="10"/>
  <c r="V86" i="10"/>
  <c r="G87" i="10" l="1"/>
  <c r="P87" i="10"/>
  <c r="S87" i="10"/>
  <c r="AB87" i="10"/>
  <c r="V87" i="10"/>
  <c r="D88" i="10"/>
  <c r="Z88" i="10" s="1"/>
  <c r="L87" i="10"/>
  <c r="Z87" i="10"/>
  <c r="E87" i="10"/>
  <c r="C87" i="10"/>
  <c r="N87" i="10"/>
  <c r="R87" i="10"/>
  <c r="AD87" i="10"/>
  <c r="Y87" i="10"/>
  <c r="AE87" i="10"/>
  <c r="X87" i="10"/>
  <c r="K87" i="10"/>
  <c r="W87" i="10"/>
  <c r="T87" i="10"/>
  <c r="Q87" i="10"/>
  <c r="F87" i="10"/>
  <c r="G88" i="10" l="1"/>
  <c r="K88" i="10"/>
  <c r="X88" i="10"/>
  <c r="V88" i="10"/>
  <c r="W88" i="10"/>
  <c r="T88" i="10"/>
  <c r="P88" i="10"/>
  <c r="AB88" i="10"/>
  <c r="N88" i="10"/>
  <c r="D89" i="10"/>
  <c r="AC89" i="10" s="1"/>
  <c r="AE88" i="10"/>
  <c r="L88" i="10"/>
  <c r="Y88" i="10"/>
  <c r="R88" i="10"/>
  <c r="S88" i="10"/>
  <c r="Q88" i="10"/>
  <c r="E88" i="10"/>
  <c r="AD88" i="10"/>
  <c r="C88" i="10"/>
  <c r="F88" i="10"/>
  <c r="AC88" i="10"/>
  <c r="Y89" i="10" l="1"/>
  <c r="K89" i="10"/>
  <c r="C89" i="10"/>
  <c r="V89" i="10"/>
  <c r="S89" i="10"/>
  <c r="W89" i="10"/>
  <c r="G89" i="10"/>
  <c r="Z89" i="10"/>
  <c r="X89" i="10"/>
  <c r="L89" i="10"/>
  <c r="T89" i="10"/>
  <c r="AE89" i="10"/>
  <c r="D90" i="10"/>
  <c r="K90" i="10" s="1"/>
  <c r="P89" i="10"/>
  <c r="AB89" i="10"/>
  <c r="AD89" i="10"/>
  <c r="N89" i="10"/>
  <c r="E89" i="10"/>
  <c r="R89" i="10"/>
  <c r="Q89" i="10"/>
  <c r="F89" i="10"/>
  <c r="G90" i="10" l="1"/>
  <c r="R90" i="10"/>
  <c r="F90" i="10"/>
  <c r="AC90" i="10"/>
  <c r="Z90" i="10"/>
  <c r="P90" i="10"/>
  <c r="AD90" i="10"/>
  <c r="N90" i="10"/>
  <c r="D91" i="10"/>
  <c r="K91" i="10" s="1"/>
  <c r="AE90" i="10"/>
  <c r="Y90" i="10"/>
  <c r="T90" i="10"/>
  <c r="L90" i="10"/>
  <c r="S90" i="10"/>
  <c r="Q90" i="10"/>
  <c r="E90" i="10"/>
  <c r="AB90" i="10"/>
  <c r="C90" i="10"/>
  <c r="W90" i="10"/>
  <c r="X90" i="10"/>
  <c r="V90" i="10"/>
  <c r="L91" i="10" l="1"/>
  <c r="Q91" i="10"/>
  <c r="F91" i="10"/>
  <c r="AD91" i="10"/>
  <c r="AC91" i="10"/>
  <c r="G91" i="10"/>
  <c r="C91" i="10"/>
  <c r="V91" i="10"/>
  <c r="N91" i="10"/>
  <c r="D92" i="10"/>
  <c r="Z92" i="10" s="1"/>
  <c r="W91" i="10"/>
  <c r="AB91" i="10"/>
  <c r="P91" i="10"/>
  <c r="Z91" i="10"/>
  <c r="S91" i="10"/>
  <c r="E91" i="10"/>
  <c r="T91" i="10"/>
  <c r="R91" i="10"/>
  <c r="Y91" i="10"/>
  <c r="AE91" i="10"/>
  <c r="X91" i="10"/>
  <c r="K92" i="10" l="1"/>
  <c r="Y92" i="10"/>
  <c r="T92" i="10"/>
  <c r="N92" i="10"/>
  <c r="Q92" i="10"/>
  <c r="W92" i="10"/>
  <c r="R92" i="10"/>
  <c r="X92" i="10"/>
  <c r="AE92" i="10"/>
  <c r="G92" i="10"/>
  <c r="AB92" i="10"/>
  <c r="D93" i="10"/>
  <c r="K93" i="10" s="1"/>
  <c r="E92" i="10"/>
  <c r="C92" i="10"/>
  <c r="AD92" i="10"/>
  <c r="S92" i="10"/>
  <c r="V92" i="10"/>
  <c r="L92" i="10"/>
  <c r="P92" i="10"/>
  <c r="F92" i="10"/>
  <c r="AC92" i="10"/>
  <c r="Q93" i="10" l="1"/>
  <c r="F93" i="10"/>
  <c r="W93" i="10"/>
  <c r="AC93" i="10"/>
  <c r="AB93" i="10"/>
  <c r="C93" i="10"/>
  <c r="G93" i="10"/>
  <c r="V93" i="10"/>
  <c r="N93" i="10"/>
  <c r="D94" i="10"/>
  <c r="E94" i="10" s="1"/>
  <c r="L93" i="10"/>
  <c r="Y93" i="10"/>
  <c r="T93" i="10"/>
  <c r="Z93" i="10"/>
  <c r="S93" i="10"/>
  <c r="E93" i="10"/>
  <c r="R93" i="10"/>
  <c r="P93" i="10"/>
  <c r="AD93" i="10"/>
  <c r="AE93" i="10"/>
  <c r="X93" i="10"/>
  <c r="K94" i="10" l="1"/>
  <c r="Y94" i="10"/>
  <c r="S94" i="10"/>
  <c r="G94" i="10"/>
  <c r="L94" i="10"/>
  <c r="Q94" i="10"/>
  <c r="C94" i="10"/>
  <c r="N94" i="10"/>
  <c r="AE94" i="10"/>
  <c r="AB94" i="10"/>
  <c r="D95" i="10"/>
  <c r="D96" i="10" s="1"/>
  <c r="T94" i="10"/>
  <c r="R94" i="10"/>
  <c r="W94" i="10"/>
  <c r="X94" i="10"/>
  <c r="V94" i="10"/>
  <c r="AD94" i="10"/>
  <c r="P94" i="10"/>
  <c r="F94" i="10"/>
  <c r="AC94" i="10"/>
  <c r="Z94" i="10"/>
  <c r="G95" i="10" l="1"/>
  <c r="S95" i="10"/>
  <c r="W95" i="10"/>
  <c r="E95" i="10"/>
  <c r="P95" i="10"/>
  <c r="Z95" i="10"/>
  <c r="R95" i="10"/>
  <c r="L95" i="10"/>
  <c r="Y95" i="10"/>
  <c r="AE95" i="10"/>
  <c r="X95" i="10"/>
  <c r="K95" i="10"/>
  <c r="AD95" i="10"/>
  <c r="AB95" i="10"/>
  <c r="Q95" i="10"/>
  <c r="F95" i="10"/>
  <c r="AC95" i="10"/>
  <c r="T95" i="10"/>
  <c r="C95" i="10"/>
  <c r="V95" i="10"/>
  <c r="N95" i="10"/>
  <c r="K96" i="10"/>
  <c r="E96" i="10"/>
  <c r="AE96" i="10"/>
  <c r="Z96" i="10"/>
  <c r="V96" i="10"/>
  <c r="Q96" i="10"/>
  <c r="D97" i="10"/>
  <c r="AC96" i="10"/>
  <c r="X96" i="10"/>
  <c r="S96" i="10"/>
  <c r="N96" i="10"/>
  <c r="F96" i="10"/>
  <c r="AB96" i="10"/>
  <c r="R96" i="10"/>
  <c r="Y96" i="10"/>
  <c r="L96" i="10"/>
  <c r="P96" i="10"/>
  <c r="T96" i="10"/>
  <c r="C96" i="10"/>
  <c r="AD96" i="10"/>
  <c r="W96" i="10"/>
  <c r="G96" i="10"/>
  <c r="K97" i="10" l="1"/>
  <c r="E97" i="10"/>
  <c r="D98" i="10"/>
  <c r="AC97" i="10"/>
  <c r="X97" i="10"/>
  <c r="S97" i="10"/>
  <c r="N97" i="10"/>
  <c r="F97" i="10"/>
  <c r="AE97" i="10"/>
  <c r="Z97" i="10"/>
  <c r="V97" i="10"/>
  <c r="Q97" i="10"/>
  <c r="AD97" i="10"/>
  <c r="T97" i="10"/>
  <c r="G97" i="10"/>
  <c r="Y97" i="10"/>
  <c r="L97" i="10"/>
  <c r="W97" i="10"/>
  <c r="C97" i="10"/>
  <c r="P97" i="10"/>
  <c r="AB97" i="10"/>
  <c r="R97" i="10"/>
  <c r="K98" i="10" l="1"/>
  <c r="E98" i="10"/>
  <c r="AE98" i="10"/>
  <c r="Z98" i="10"/>
  <c r="V98" i="10"/>
  <c r="Q98" i="10"/>
  <c r="D99" i="10"/>
  <c r="AC98" i="10"/>
  <c r="X98" i="10"/>
  <c r="S98" i="10"/>
  <c r="N98" i="10"/>
  <c r="F98" i="10"/>
  <c r="W98" i="10"/>
  <c r="L98" i="10"/>
  <c r="Y98" i="10"/>
  <c r="G98" i="10"/>
  <c r="AD98" i="10"/>
  <c r="P98" i="10"/>
  <c r="R98" i="10"/>
  <c r="C98" i="10"/>
  <c r="AB98" i="10"/>
  <c r="T98" i="10"/>
  <c r="K99" i="10" l="1"/>
  <c r="E99" i="10"/>
  <c r="D100" i="10"/>
  <c r="AC99" i="10"/>
  <c r="X99" i="10"/>
  <c r="S99" i="10"/>
  <c r="N99" i="10"/>
  <c r="F99" i="10"/>
  <c r="AE99" i="10"/>
  <c r="Z99" i="10"/>
  <c r="V99" i="10"/>
  <c r="Q99" i="10"/>
  <c r="Y99" i="10"/>
  <c r="P99" i="10"/>
  <c r="C99" i="10"/>
  <c r="W99" i="10"/>
  <c r="G99" i="10"/>
  <c r="T99" i="10"/>
  <c r="AD99" i="10"/>
  <c r="R99" i="10"/>
  <c r="L99" i="10"/>
  <c r="AB99" i="10"/>
  <c r="K100" i="10" l="1"/>
  <c r="E100" i="10"/>
  <c r="AE100" i="10"/>
  <c r="Z100" i="10"/>
  <c r="V100" i="10"/>
  <c r="Q100" i="10"/>
  <c r="AC100" i="10"/>
  <c r="X100" i="10"/>
  <c r="S100" i="10"/>
  <c r="N100" i="10"/>
  <c r="F100" i="10"/>
  <c r="AB100" i="10"/>
  <c r="R100" i="10"/>
  <c r="W100" i="10"/>
  <c r="G100" i="10"/>
  <c r="AD100" i="10"/>
  <c r="L100" i="10"/>
  <c r="Y100" i="10"/>
  <c r="T100" i="10"/>
  <c r="P100" i="10"/>
  <c r="C100" i="10"/>
</calcChain>
</file>

<file path=xl/sharedStrings.xml><?xml version="1.0" encoding="utf-8"?>
<sst xmlns="http://schemas.openxmlformats.org/spreadsheetml/2006/main" count="266" uniqueCount="189">
  <si>
    <t>British Columbia</t>
  </si>
  <si>
    <t>Alberta</t>
  </si>
  <si>
    <t>Manitoba</t>
  </si>
  <si>
    <t>Ontario</t>
  </si>
  <si>
    <t>Quebec</t>
  </si>
  <si>
    <t>Prince Edward Island</t>
  </si>
  <si>
    <t>New Brunswick</t>
  </si>
  <si>
    <t>Nova Scotia</t>
  </si>
  <si>
    <t>Northwest Territories</t>
  </si>
  <si>
    <t>Nunavut</t>
  </si>
  <si>
    <t>Federal</t>
  </si>
  <si>
    <t>Territory</t>
  </si>
  <si>
    <t>Newfoundland and Labrador</t>
  </si>
  <si>
    <t>13.3% on the amount over $67,496</t>
  </si>
  <si>
    <t>16.7% on the amount over $63,969</t>
  </si>
  <si>
    <t>21% on the amount over $150,000</t>
  </si>
  <si>
    <t>16.07% on the amount over $126,662</t>
  </si>
  <si>
    <t>13.16 % on the amount over $509,000</t>
  </si>
  <si>
    <t>17.4% on the amount over $67,000</t>
  </si>
  <si>
    <t>Saskatchewan</t>
  </si>
  <si>
    <t>15% on the amount over $122,589</t>
  </si>
  <si>
    <t>10% of taxable income</t>
  </si>
  <si>
    <t>14.7% on the amount over $104,754</t>
  </si>
  <si>
    <t>Yukon</t>
  </si>
  <si>
    <t>12.76% on the amount over $135,054</t>
  </si>
  <si>
    <t>14.05% on the amount over $128,286</t>
  </si>
  <si>
    <t>11.5% on the amount over $135,054</t>
  </si>
  <si>
    <t>Tax Rates (2013): Canada</t>
  </si>
  <si>
    <t>22% on the next $43,562 of taxable income</t>
  </si>
  <si>
    <t>26% on the next $47,931 of taxable income</t>
  </si>
  <si>
    <t>7.7% on the first $33,748 of taxable income</t>
  </si>
  <si>
    <t>12.5% on the next $33,748</t>
  </si>
  <si>
    <t>9.8% on the first $31,984 of taxable income</t>
  </si>
  <si>
    <t>13.8% on the next $31,985</t>
  </si>
  <si>
    <t>8.79% on the first $29,590 of taxable income</t>
  </si>
  <si>
    <t>14.95% on the next $29,590</t>
  </si>
  <si>
    <t>16.67% on the next $33,820</t>
  </si>
  <si>
    <t>17.5% on the next $57,000 </t>
  </si>
  <si>
    <t>9.39% on the first $38,954 of taxable income</t>
  </si>
  <si>
    <t>13.46% on the next $38,954</t>
  </si>
  <si>
    <t>14.46% on the next $48,754</t>
  </si>
  <si>
    <t>5.05% on the first $39,723 of taxable income</t>
  </si>
  <si>
    <t>9.15% on the next $39,725</t>
  </si>
  <si>
    <t>11.16% on the next $429,552 </t>
  </si>
  <si>
    <t>10.8% on the first $31,000 of taxable income</t>
  </si>
  <si>
    <t>12.75% on the next $36,000</t>
  </si>
  <si>
    <t>11% on the first $42,906 of taxable income</t>
  </si>
  <si>
    <t>13% on the next $79,683</t>
  </si>
  <si>
    <t>5.06% on the first $37,568 of taxable income</t>
  </si>
  <si>
    <t>7.7% on the next $37,570</t>
  </si>
  <si>
    <t>10.5% on the next $11,130</t>
  </si>
  <si>
    <t>12.29% on the next $18,486</t>
  </si>
  <si>
    <t>7.04% on the first $43,561 of taxable income</t>
  </si>
  <si>
    <t>9.68% on the next $43,562</t>
  </si>
  <si>
    <t>11.44% on the next $47,931</t>
  </si>
  <si>
    <t>5.9% on the first $39,453 of taxable income</t>
  </si>
  <si>
    <t>8.6% on the next $39,455</t>
  </si>
  <si>
    <t>12.2% on the next $49,378</t>
  </si>
  <si>
    <t>4% on the first $41,535 of taxable income</t>
  </si>
  <si>
    <t>7% on the next $41,536</t>
  </si>
  <si>
    <t>9% on the next $51,983</t>
  </si>
  <si>
    <t>15% on the first $43,561 of taxable income</t>
  </si>
  <si>
    <t>Rate</t>
  </si>
  <si>
    <t>Threshold</t>
  </si>
  <si>
    <t>29% of taxable income over $135,054</t>
  </si>
  <si>
    <t>Tax Rate Calculator (2013): Canada</t>
  </si>
  <si>
    <t>Drop Down List</t>
  </si>
  <si>
    <t>Federal:</t>
  </si>
  <si>
    <t>Total:</t>
  </si>
  <si>
    <t>Tax</t>
  </si>
  <si>
    <t>Cumulative</t>
  </si>
  <si>
    <t>25.75 % on the amount over $100,000</t>
  </si>
  <si>
    <t>16% on the first $40,100 of taxable income</t>
  </si>
  <si>
    <t>20% on the next $42,090</t>
  </si>
  <si>
    <t>24% on the next $17,810 </t>
  </si>
  <si>
    <t>Rank</t>
  </si>
  <si>
    <t>Region:</t>
  </si>
  <si>
    <t>Rank:</t>
  </si>
  <si>
    <t>Median:</t>
  </si>
  <si>
    <t>Max:</t>
  </si>
  <si>
    <t>Min:</t>
  </si>
  <si>
    <t>Summary</t>
  </si>
  <si>
    <t>Comparative Analysis</t>
  </si>
  <si>
    <t>Basic Personal Tax Credit (2013): Canada</t>
  </si>
  <si>
    <t>Source:</t>
  </si>
  <si>
    <t>ab</t>
  </si>
  <si>
    <t>bc</t>
  </si>
  <si>
    <t>mb</t>
  </si>
  <si>
    <t>nb</t>
  </si>
  <si>
    <t>nt</t>
  </si>
  <si>
    <t>ns</t>
  </si>
  <si>
    <t>on</t>
  </si>
  <si>
    <t>qb</t>
  </si>
  <si>
    <t>sk</t>
  </si>
  <si>
    <t>nl</t>
  </si>
  <si>
    <t>nu</t>
  </si>
  <si>
    <t>pe</t>
  </si>
  <si>
    <t>yt</t>
  </si>
  <si>
    <t>Abbreviation</t>
  </si>
  <si>
    <t>Abbreviation:</t>
  </si>
  <si>
    <t>http://www.cra-arc.gc.ca/tx/ndvdls/fq/txrts-eng.html</t>
  </si>
  <si>
    <t>Return:</t>
  </si>
  <si>
    <t>Average %</t>
  </si>
  <si>
    <t>Marginal %</t>
  </si>
  <si>
    <t>Basic Credit</t>
  </si>
  <si>
    <t>Inputs</t>
  </si>
  <si>
    <t>Tax Rates (2013)</t>
  </si>
  <si>
    <t>Non-Refundable 
Tax Credit Rate (2013)</t>
  </si>
  <si>
    <t>Basic Personal 
Tax Credit (2013)</t>
  </si>
  <si>
    <t>Salary</t>
  </si>
  <si>
    <t>Age</t>
  </si>
  <si>
    <t>Inflation:</t>
  </si>
  <si>
    <t>TFSA:</t>
  </si>
  <si>
    <t>Retirement Age:</t>
  </si>
  <si>
    <t>RRSP:</t>
  </si>
  <si>
    <t>Taxable Income:</t>
  </si>
  <si>
    <t>RRSP (Credit)</t>
  </si>
  <si>
    <t>Tax (Prov.)</t>
  </si>
  <si>
    <t>Tax (Total)</t>
  </si>
  <si>
    <t>TFSA Contribution: Canada</t>
  </si>
  <si>
    <t>Year</t>
  </si>
  <si>
    <t>Amount</t>
  </si>
  <si>
    <t>http://www.cra-arc.gc.ca/tx/rgstrd/tfsa-celi/bt-eng.html</t>
  </si>
  <si>
    <t>About the tax-free savings account (TFSA)</t>
  </si>
  <si>
    <t>In 2009, the federal government introduced a savings vehicle called the tax-free savings account (TFSA). The TFSA allows Canadian residents who are 18 years of age or older with a valid Canadian social insurance number to set money aside tax-free during their lifetime.</t>
  </si>
  <si>
    <t>Contributions to a TFSA are not deductible for income tax purposes. However, any amount contributed as well as any income generated in the account (for example, investment income and capital gains) is generally tax-free, even when it is withdrawn.</t>
  </si>
  <si>
    <t>An individual can only contribute up to their TFSA contribution room. Unused TFSA contribution room can be carried forward to later years. The total amount of TFSA withdrawals in a calendar year is added to the TFSA contribution room for the next calendar year.</t>
  </si>
  <si>
    <t>TFSA dollar limit for 2013</t>
  </si>
  <si>
    <t>In 2009 and subsequent years through 2012, the TFSA dollar limit was $5,000 per year. When the 2013 indexation increase of 2% is applied to the cumulatively indexed (since 2010) TFSA dollar limit and the result is rounded to the nearest $500, the TFSA dollar limit for 2013 increases to $5,500.</t>
  </si>
  <si>
    <t>Date of Birth</t>
  </si>
  <si>
    <t>Income</t>
  </si>
  <si>
    <t>TFSA (S&amp;P)</t>
  </si>
  <si>
    <t>TFSA (Nasdaq)</t>
  </si>
  <si>
    <t>TFSA (Mutual Fund)</t>
  </si>
  <si>
    <t>TFSA Funds: Canada</t>
  </si>
  <si>
    <t>Name</t>
  </si>
  <si>
    <t>Type</t>
  </si>
  <si>
    <t>Manager</t>
  </si>
  <si>
    <t>Fee</t>
  </si>
  <si>
    <t>Return</t>
  </si>
  <si>
    <t xml:space="preserve"> </t>
  </si>
  <si>
    <t>Date</t>
  </si>
  <si>
    <t>Investment Calculator (2013): Canada</t>
  </si>
  <si>
    <t>TFSA (Dow Jones)</t>
  </si>
  <si>
    <t>SPDR Dow Jones Industrial Average ETF</t>
  </si>
  <si>
    <t>ETF</t>
  </si>
  <si>
    <t>State Street Global Advisors</t>
  </si>
  <si>
    <t>SPDR S&amp;P 500 ETF</t>
  </si>
  <si>
    <t>Ticker</t>
  </si>
  <si>
    <t>DIA</t>
  </si>
  <si>
    <t>SPY</t>
  </si>
  <si>
    <t>Year:</t>
  </si>
  <si>
    <t>Salary:</t>
  </si>
  <si>
    <t>Tax (Prov)</t>
  </si>
  <si>
    <t>Tax (Fed)</t>
  </si>
  <si>
    <t>CPP</t>
  </si>
  <si>
    <t>Total</t>
  </si>
  <si>
    <t>EI</t>
  </si>
  <si>
    <t>Taxes</t>
  </si>
  <si>
    <t>BOY Assets</t>
  </si>
  <si>
    <t>EOY Assets</t>
  </si>
  <si>
    <t>Contribution</t>
  </si>
  <si>
    <t>TFSA</t>
  </si>
  <si>
    <t>RRSP</t>
  </si>
  <si>
    <t>Pesonal Information</t>
  </si>
  <si>
    <t>Name:</t>
  </si>
  <si>
    <t>Province:</t>
  </si>
  <si>
    <t>Date of Birth:</t>
  </si>
  <si>
    <t>User Form for Retirement Planning (2013): Canada</t>
  </si>
  <si>
    <t>Financial Assets</t>
  </si>
  <si>
    <t>Investment Assumptions</t>
  </si>
  <si>
    <t>PV:</t>
  </si>
  <si>
    <t>Margin</t>
  </si>
  <si>
    <t>RRSP Tax Credit</t>
  </si>
  <si>
    <t>Savings</t>
  </si>
  <si>
    <t>Age:</t>
  </si>
  <si>
    <t>Liability</t>
  </si>
  <si>
    <t>Asset</t>
  </si>
  <si>
    <t>Discount</t>
  </si>
  <si>
    <t>Savings &amp; Retirement Goals</t>
  </si>
  <si>
    <t>Savings Rate:</t>
  </si>
  <si>
    <t>As of:</t>
  </si>
  <si>
    <t>Margin:</t>
  </si>
  <si>
    <t>% Earnings:</t>
  </si>
  <si>
    <t>RRSP Contribution:</t>
  </si>
  <si>
    <t>RRSP Credit:</t>
  </si>
  <si>
    <t>Room</t>
  </si>
  <si>
    <t>Stole my Job</t>
  </si>
  <si>
    <t>Productivity:</t>
  </si>
</sst>
</file>

<file path=xl/styles.xml><?xml version="1.0" encoding="utf-8"?>
<styleSheet xmlns="http://schemas.openxmlformats.org/spreadsheetml/2006/main" xmlns:mc="http://schemas.openxmlformats.org/markup-compatibility/2006" xmlns:x14ac="http://schemas.microsoft.com/office/spreadsheetml/2009/9/ac" mc:Ignorable="x14ac">
  <numFmts count="6">
    <numFmt numFmtId="8" formatCode="&quot;$&quot;#,##0.00;[Red]\-&quot;$&quot;#,##0.00"/>
    <numFmt numFmtId="43" formatCode="_-* #,##0.00_-;\-* #,##0.00_-;_-* &quot;-&quot;??_-;_-@_-"/>
    <numFmt numFmtId="164" formatCode="_-* #,##0_-;\-* #,##0_-;_-* &quot;-&quot;??_-;_-@_-"/>
    <numFmt numFmtId="165" formatCode="[$-F800]dddd\,\ mmmm\ dd\,\ yyyy"/>
    <numFmt numFmtId="166" formatCode="0.0000%"/>
    <numFmt numFmtId="167" formatCode="dd/mm/yy;@"/>
  </numFmts>
  <fonts count="16" x14ac:knownFonts="1">
    <font>
      <sz val="11"/>
      <color theme="1"/>
      <name val="Calibri"/>
      <family val="2"/>
      <scheme val="minor"/>
    </font>
    <font>
      <sz val="11"/>
      <color theme="1"/>
      <name val="Calibri"/>
      <family val="2"/>
      <scheme val="minor"/>
    </font>
    <font>
      <b/>
      <sz val="11"/>
      <color theme="1"/>
      <name val="Calibri"/>
      <family val="2"/>
      <scheme val="minor"/>
    </font>
    <font>
      <sz val="10"/>
      <color rgb="FF333333"/>
      <name val="Verdana"/>
      <family val="2"/>
    </font>
    <font>
      <u/>
      <sz val="11"/>
      <color theme="10"/>
      <name val="Calibri"/>
      <family val="2"/>
      <scheme val="minor"/>
    </font>
    <font>
      <b/>
      <sz val="14"/>
      <color theme="1"/>
      <name val="Calibri"/>
      <family val="2"/>
      <scheme val="minor"/>
    </font>
    <font>
      <u/>
      <sz val="11"/>
      <color theme="1"/>
      <name val="Calibri"/>
      <family val="2"/>
      <scheme val="minor"/>
    </font>
    <font>
      <sz val="11"/>
      <color theme="0"/>
      <name val="Calibri"/>
      <family val="2"/>
      <scheme val="minor"/>
    </font>
    <font>
      <i/>
      <sz val="11"/>
      <color theme="1"/>
      <name val="Calibri"/>
      <family val="2"/>
      <scheme val="minor"/>
    </font>
    <font>
      <sz val="8"/>
      <color theme="1"/>
      <name val="Calibri"/>
      <family val="2"/>
      <scheme val="minor"/>
    </font>
    <font>
      <sz val="10"/>
      <color theme="1"/>
      <name val="Calibri"/>
      <family val="2"/>
      <scheme val="minor"/>
    </font>
    <font>
      <sz val="11"/>
      <color theme="0" tint="-0.24994659260841701"/>
      <name val="Calibri"/>
      <family val="2"/>
      <scheme val="minor"/>
    </font>
    <font>
      <b/>
      <sz val="11"/>
      <color theme="0" tint="-0.24994659260841701"/>
      <name val="Calibri"/>
      <family val="2"/>
      <scheme val="minor"/>
    </font>
    <font>
      <b/>
      <sz val="10"/>
      <color theme="1"/>
      <name val="Calibri"/>
      <family val="2"/>
      <scheme val="minor"/>
    </font>
    <font>
      <b/>
      <i/>
      <sz val="11"/>
      <color theme="1"/>
      <name val="Calibri"/>
      <family val="2"/>
      <scheme val="minor"/>
    </font>
    <font>
      <b/>
      <u val="singleAccounting"/>
      <sz val="11"/>
      <color rgb="FF109C13"/>
      <name val="Calibri"/>
      <family val="2"/>
      <scheme val="minor"/>
    </font>
  </fonts>
  <fills count="10">
    <fill>
      <patternFill patternType="none"/>
    </fill>
    <fill>
      <patternFill patternType="gray125"/>
    </fill>
    <fill>
      <patternFill patternType="solid">
        <fgColor theme="8" tint="0.79998168889431442"/>
        <bgColor indexed="64"/>
      </patternFill>
    </fill>
    <fill>
      <patternFill patternType="solid">
        <fgColor rgb="FFFFC000"/>
        <bgColor indexed="64"/>
      </patternFill>
    </fill>
    <fill>
      <patternFill patternType="solid">
        <fgColor theme="8" tint="0.59996337778862885"/>
        <bgColor indexed="64"/>
      </patternFill>
    </fill>
    <fill>
      <patternFill patternType="solid">
        <fgColor theme="3" tint="0.59996337778862885"/>
        <bgColor indexed="64"/>
      </patternFill>
    </fill>
    <fill>
      <patternFill patternType="solid">
        <fgColor rgb="FFEBFA2E"/>
        <bgColor indexed="64"/>
      </patternFill>
    </fill>
    <fill>
      <patternFill patternType="solid">
        <fgColor rgb="FFFF2F2F"/>
        <bgColor indexed="64"/>
      </patternFill>
    </fill>
    <fill>
      <patternFill patternType="solid">
        <fgColor rgb="FF42EC46"/>
        <bgColor indexed="64"/>
      </patternFill>
    </fill>
    <fill>
      <patternFill patternType="solid">
        <fgColor theme="4" tint="0.59996337778862885"/>
        <bgColor indexed="64"/>
      </patternFill>
    </fill>
  </fills>
  <borders count="26">
    <border>
      <left/>
      <right/>
      <top/>
      <bottom/>
      <diagonal/>
    </border>
    <border>
      <left/>
      <right style="medium">
        <color auto="1"/>
      </right>
      <top style="medium">
        <color auto="1"/>
      </top>
      <bottom/>
      <diagonal/>
    </border>
    <border>
      <left/>
      <right style="medium">
        <color auto="1"/>
      </right>
      <top/>
      <bottom/>
      <diagonal/>
    </border>
    <border>
      <left/>
      <right style="medium">
        <color auto="1"/>
      </right>
      <top/>
      <bottom style="medium">
        <color auto="1"/>
      </bottom>
      <diagonal/>
    </border>
    <border>
      <left style="medium">
        <color auto="1"/>
      </left>
      <right style="medium">
        <color auto="1"/>
      </right>
      <top style="medium">
        <color auto="1"/>
      </top>
      <bottom style="thin">
        <color auto="1"/>
      </bottom>
      <diagonal/>
    </border>
    <border>
      <left style="medium">
        <color auto="1"/>
      </left>
      <right style="medium">
        <color auto="1"/>
      </right>
      <top style="thin">
        <color auto="1"/>
      </top>
      <bottom style="thin">
        <color auto="1"/>
      </bottom>
      <diagonal/>
    </border>
    <border>
      <left style="medium">
        <color auto="1"/>
      </left>
      <right style="medium">
        <color auto="1"/>
      </right>
      <top style="thin">
        <color auto="1"/>
      </top>
      <bottom style="medium">
        <color auto="1"/>
      </bottom>
      <diagonal/>
    </border>
    <border>
      <left style="medium">
        <color auto="1"/>
      </left>
      <right/>
      <top style="medium">
        <color auto="1"/>
      </top>
      <bottom/>
      <diagonal/>
    </border>
    <border>
      <left/>
      <right/>
      <top style="medium">
        <color auto="1"/>
      </top>
      <bottom/>
      <diagonal/>
    </border>
    <border>
      <left style="medium">
        <color auto="1"/>
      </left>
      <right/>
      <top/>
      <bottom/>
      <diagonal/>
    </border>
    <border>
      <left/>
      <right/>
      <top/>
      <bottom style="medium">
        <color auto="1"/>
      </bottom>
      <diagonal/>
    </border>
    <border>
      <left style="medium">
        <color auto="1"/>
      </left>
      <right/>
      <top/>
      <bottom style="thin">
        <color auto="1"/>
      </bottom>
      <diagonal/>
    </border>
    <border>
      <left/>
      <right/>
      <top/>
      <bottom style="thin">
        <color auto="1"/>
      </bottom>
      <diagonal/>
    </border>
    <border>
      <left/>
      <right style="medium">
        <color auto="1"/>
      </right>
      <top/>
      <bottom style="thin">
        <color auto="1"/>
      </bottom>
      <diagonal/>
    </border>
    <border>
      <left style="medium">
        <color auto="1"/>
      </left>
      <right/>
      <top style="thin">
        <color auto="1"/>
      </top>
      <bottom/>
      <diagonal/>
    </border>
    <border>
      <left/>
      <right/>
      <top style="thin">
        <color auto="1"/>
      </top>
      <bottom/>
      <diagonal/>
    </border>
    <border>
      <left/>
      <right style="medium">
        <color auto="1"/>
      </right>
      <top style="thin">
        <color auto="1"/>
      </top>
      <bottom/>
      <diagonal/>
    </border>
    <border>
      <left/>
      <right/>
      <top style="thin">
        <color auto="1"/>
      </top>
      <bottom style="thin">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style="medium">
        <color auto="1"/>
      </left>
      <right/>
      <top/>
      <bottom style="medium">
        <color auto="1"/>
      </bottom>
      <diagonal/>
    </border>
    <border diagonalUp="1">
      <left/>
      <right/>
      <top/>
      <bottom/>
      <diagonal style="thin">
        <color auto="1"/>
      </diagonal>
    </border>
    <border>
      <left style="thin">
        <color auto="1"/>
      </left>
      <right style="thin">
        <color auto="1"/>
      </right>
      <top style="medium">
        <color auto="1"/>
      </top>
      <bottom style="medium">
        <color auto="1"/>
      </bottom>
      <diagonal/>
    </border>
    <border>
      <left style="thin">
        <color auto="1"/>
      </left>
      <right style="thin">
        <color auto="1"/>
      </right>
      <top/>
      <bottom/>
      <diagonal/>
    </border>
    <border>
      <left style="thin">
        <color auto="1"/>
      </left>
      <right style="thin">
        <color auto="1"/>
      </right>
      <top/>
      <bottom style="thin">
        <color auto="1"/>
      </bottom>
      <diagonal/>
    </border>
  </borders>
  <cellStyleXfs count="4">
    <xf numFmtId="0" fontId="0" fillId="0" borderId="0"/>
    <xf numFmtId="43" fontId="1" fillId="0" borderId="0" applyFont="0" applyFill="0" applyBorder="0" applyAlignment="0" applyProtection="0"/>
    <xf numFmtId="9" fontId="1" fillId="0" borderId="0" applyFont="0" applyFill="0" applyBorder="0" applyAlignment="0" applyProtection="0"/>
    <xf numFmtId="0" fontId="4" fillId="0" borderId="0" applyNumberFormat="0" applyFill="0" applyBorder="0" applyAlignment="0" applyProtection="0"/>
  </cellStyleXfs>
  <cellXfs count="123">
    <xf numFmtId="0" fontId="0" fillId="0" borderId="0" xfId="0"/>
    <xf numFmtId="0" fontId="3" fillId="0" borderId="0" xfId="0" applyFont="1" applyFill="1" applyBorder="1" applyAlignment="1">
      <alignment vertical="top"/>
    </xf>
    <xf numFmtId="0" fontId="3" fillId="0" borderId="5" xfId="0" applyFont="1" applyFill="1" applyBorder="1" applyAlignment="1">
      <alignment vertical="top" wrapText="1"/>
    </xf>
    <xf numFmtId="0" fontId="4" fillId="0" borderId="0" xfId="3"/>
    <xf numFmtId="0" fontId="5" fillId="0" borderId="0" xfId="0" applyFont="1"/>
    <xf numFmtId="0" fontId="3" fillId="0" borderId="10" xfId="0" applyFont="1" applyFill="1" applyBorder="1" applyAlignment="1">
      <alignment vertical="top"/>
    </xf>
    <xf numFmtId="0" fontId="3" fillId="0" borderId="7" xfId="0" applyFont="1" applyFill="1" applyBorder="1" applyAlignment="1">
      <alignment vertical="top"/>
    </xf>
    <xf numFmtId="0" fontId="3" fillId="0" borderId="9" xfId="0" applyFont="1" applyFill="1" applyBorder="1" applyAlignment="1">
      <alignment vertical="top"/>
    </xf>
    <xf numFmtId="0" fontId="3" fillId="0" borderId="11" xfId="0" applyFont="1" applyFill="1" applyBorder="1" applyAlignment="1">
      <alignment vertical="top"/>
    </xf>
    <xf numFmtId="0" fontId="3" fillId="0" borderId="14" xfId="0" applyFont="1" applyFill="1" applyBorder="1" applyAlignment="1">
      <alignment vertical="top"/>
    </xf>
    <xf numFmtId="164" fontId="0" fillId="0" borderId="1" xfId="1" applyNumberFormat="1" applyFont="1" applyBorder="1"/>
    <xf numFmtId="164" fontId="0" fillId="0" borderId="2" xfId="1" applyNumberFormat="1" applyFont="1" applyBorder="1"/>
    <xf numFmtId="164" fontId="0" fillId="0" borderId="13" xfId="1" applyNumberFormat="1" applyFont="1" applyBorder="1"/>
    <xf numFmtId="164" fontId="0" fillId="0" borderId="16" xfId="1" applyNumberFormat="1" applyFont="1" applyBorder="1"/>
    <xf numFmtId="164" fontId="0" fillId="0" borderId="3" xfId="1" applyNumberFormat="1" applyFont="1" applyBorder="1"/>
    <xf numFmtId="9" fontId="0" fillId="0" borderId="0" xfId="2" applyFont="1"/>
    <xf numFmtId="10" fontId="0" fillId="0" borderId="0" xfId="2" applyNumberFormat="1" applyFont="1"/>
    <xf numFmtId="10" fontId="0" fillId="0" borderId="15" xfId="2" applyNumberFormat="1" applyFont="1" applyBorder="1"/>
    <xf numFmtId="10" fontId="0" fillId="0" borderId="0" xfId="2" applyNumberFormat="1" applyFont="1" applyBorder="1"/>
    <xf numFmtId="10" fontId="0" fillId="0" borderId="12" xfId="2" applyNumberFormat="1" applyFont="1" applyBorder="1"/>
    <xf numFmtId="10" fontId="0" fillId="0" borderId="17" xfId="2" applyNumberFormat="1" applyFont="1" applyBorder="1"/>
    <xf numFmtId="10" fontId="0" fillId="0" borderId="10" xfId="2" applyNumberFormat="1" applyFont="1" applyBorder="1"/>
    <xf numFmtId="0" fontId="2" fillId="0" borderId="18" xfId="0" applyFont="1" applyFill="1" applyBorder="1" applyAlignment="1">
      <alignment horizontal="center"/>
    </xf>
    <xf numFmtId="0" fontId="2" fillId="0" borderId="19" xfId="0" applyFont="1" applyFill="1" applyBorder="1" applyAlignment="1">
      <alignment horizontal="center"/>
    </xf>
    <xf numFmtId="0" fontId="2" fillId="0" borderId="20" xfId="0" applyFont="1" applyFill="1" applyBorder="1" applyAlignment="1">
      <alignment horizontal="center"/>
    </xf>
    <xf numFmtId="0" fontId="0" fillId="0" borderId="0" xfId="0" applyBorder="1" applyAlignment="1">
      <alignment vertical="top"/>
    </xf>
    <xf numFmtId="0" fontId="2" fillId="0" borderId="12" xfId="0" applyFont="1" applyFill="1" applyBorder="1" applyAlignment="1">
      <alignment horizontal="center"/>
    </xf>
    <xf numFmtId="164" fontId="0" fillId="0" borderId="0" xfId="1" applyNumberFormat="1" applyFont="1"/>
    <xf numFmtId="0" fontId="2" fillId="0" borderId="0" xfId="0" applyFont="1" applyAlignment="1">
      <alignment horizontal="right"/>
    </xf>
    <xf numFmtId="164" fontId="0" fillId="0" borderId="8" xfId="1" applyNumberFormat="1" applyFont="1" applyBorder="1"/>
    <xf numFmtId="164" fontId="0" fillId="0" borderId="0" xfId="1" applyNumberFormat="1" applyFont="1" applyBorder="1"/>
    <xf numFmtId="164" fontId="0" fillId="0" borderId="12" xfId="1" applyNumberFormat="1" applyFont="1" applyBorder="1"/>
    <xf numFmtId="164" fontId="0" fillId="0" borderId="15" xfId="1" applyNumberFormat="1" applyFont="1" applyBorder="1"/>
    <xf numFmtId="164" fontId="0" fillId="0" borderId="10" xfId="1" applyNumberFormat="1" applyFont="1" applyBorder="1"/>
    <xf numFmtId="164" fontId="0" fillId="0" borderId="0" xfId="0" applyNumberFormat="1"/>
    <xf numFmtId="0" fontId="2" fillId="0" borderId="0" xfId="0" applyFont="1" applyBorder="1" applyAlignment="1">
      <alignment horizontal="right"/>
    </xf>
    <xf numFmtId="0" fontId="6" fillId="0" borderId="0" xfId="0" applyFont="1"/>
    <xf numFmtId="0" fontId="0" fillId="0" borderId="0" xfId="0" applyFont="1" applyAlignment="1">
      <alignment horizontal="right"/>
    </xf>
    <xf numFmtId="164" fontId="0" fillId="0" borderId="0" xfId="1" applyNumberFormat="1" applyFont="1" applyAlignment="1">
      <alignment horizontal="right"/>
    </xf>
    <xf numFmtId="0" fontId="7" fillId="0" borderId="0" xfId="0" applyFont="1"/>
    <xf numFmtId="9" fontId="0" fillId="0" borderId="0" xfId="0" applyNumberFormat="1" applyAlignment="1">
      <alignment horizontal="left"/>
    </xf>
    <xf numFmtId="164" fontId="8" fillId="0" borderId="0" xfId="1" applyNumberFormat="1" applyFont="1"/>
    <xf numFmtId="164" fontId="8" fillId="0" borderId="0" xfId="1" applyNumberFormat="1" applyFont="1" applyAlignment="1">
      <alignment horizontal="right"/>
    </xf>
    <xf numFmtId="0" fontId="0" fillId="0" borderId="9" xfId="0" applyBorder="1"/>
    <xf numFmtId="0" fontId="0" fillId="0" borderId="9" xfId="0" applyBorder="1" applyAlignment="1">
      <alignment vertical="top"/>
    </xf>
    <xf numFmtId="0" fontId="3" fillId="0" borderId="21" xfId="0" applyFont="1" applyFill="1" applyBorder="1" applyAlignment="1">
      <alignment vertical="top"/>
    </xf>
    <xf numFmtId="164" fontId="2" fillId="0" borderId="0" xfId="0" applyNumberFormat="1" applyFont="1" applyBorder="1"/>
    <xf numFmtId="0" fontId="9" fillId="0" borderId="0" xfId="0" applyFont="1"/>
    <xf numFmtId="0" fontId="10" fillId="0" borderId="0" xfId="0" applyFont="1"/>
    <xf numFmtId="0" fontId="3" fillId="0" borderId="0" xfId="0" applyFont="1" applyFill="1" applyBorder="1" applyAlignment="1">
      <alignment horizontal="right" vertical="top"/>
    </xf>
    <xf numFmtId="0" fontId="3" fillId="0" borderId="10" xfId="0" applyFont="1" applyFill="1" applyBorder="1" applyAlignment="1">
      <alignment horizontal="right" vertical="top"/>
    </xf>
    <xf numFmtId="164" fontId="1" fillId="0" borderId="0" xfId="1" applyNumberFormat="1" applyFont="1" applyAlignment="1">
      <alignment horizontal="right"/>
    </xf>
    <xf numFmtId="46" fontId="2" fillId="0" borderId="0" xfId="0" applyNumberFormat="1" applyFont="1" applyAlignment="1">
      <alignment horizontal="right"/>
    </xf>
    <xf numFmtId="164" fontId="1" fillId="0" borderId="0" xfId="1" applyNumberFormat="1" applyFont="1"/>
    <xf numFmtId="0" fontId="0" fillId="0" borderId="0" xfId="0" applyAlignment="1">
      <alignment horizontal="right"/>
    </xf>
    <xf numFmtId="0" fontId="2" fillId="0" borderId="0" xfId="0" applyFont="1" applyAlignment="1">
      <alignment horizontal="left"/>
    </xf>
    <xf numFmtId="0" fontId="10" fillId="0" borderId="0" xfId="0" applyFont="1" applyAlignment="1">
      <alignment horizontal="left"/>
    </xf>
    <xf numFmtId="9" fontId="2" fillId="0" borderId="0" xfId="2" applyFont="1"/>
    <xf numFmtId="0" fontId="0" fillId="0" borderId="22" xfId="0" applyFont="1" applyBorder="1" applyAlignment="1">
      <alignment horizontal="right"/>
    </xf>
    <xf numFmtId="0" fontId="2" fillId="0" borderId="19" xfId="0" applyFont="1" applyBorder="1" applyAlignment="1">
      <alignment horizontal="right"/>
    </xf>
    <xf numFmtId="0" fontId="2" fillId="0" borderId="19" xfId="0" applyFont="1" applyBorder="1" applyAlignment="1">
      <alignment horizontal="right" wrapText="1"/>
    </xf>
    <xf numFmtId="164" fontId="11" fillId="0" borderId="0" xfId="0" applyNumberFormat="1" applyFont="1" applyBorder="1"/>
    <xf numFmtId="164" fontId="12" fillId="0" borderId="0" xfId="0" applyNumberFormat="1" applyFont="1" applyBorder="1"/>
    <xf numFmtId="10" fontId="11" fillId="0" borderId="0" xfId="2" applyNumberFormat="1" applyFont="1" applyBorder="1"/>
    <xf numFmtId="164" fontId="3" fillId="0" borderId="0" xfId="1" applyNumberFormat="1" applyFont="1" applyFill="1" applyBorder="1" applyAlignment="1">
      <alignment horizontal="right" vertical="top"/>
    </xf>
    <xf numFmtId="164" fontId="3" fillId="0" borderId="10" xfId="1" applyNumberFormat="1" applyFont="1" applyFill="1" applyBorder="1" applyAlignment="1">
      <alignment horizontal="right" vertical="top"/>
    </xf>
    <xf numFmtId="10" fontId="3" fillId="0" borderId="2" xfId="2" applyNumberFormat="1" applyFont="1" applyFill="1" applyBorder="1" applyAlignment="1">
      <alignment vertical="top"/>
    </xf>
    <xf numFmtId="10" fontId="3" fillId="0" borderId="3" xfId="2" applyNumberFormat="1" applyFont="1" applyFill="1" applyBorder="1" applyAlignment="1">
      <alignment vertical="top"/>
    </xf>
    <xf numFmtId="0" fontId="2" fillId="0" borderId="19" xfId="0" applyFont="1" applyFill="1" applyBorder="1" applyAlignment="1">
      <alignment horizontal="center" wrapText="1"/>
    </xf>
    <xf numFmtId="0" fontId="2" fillId="0" borderId="19" xfId="0" applyFont="1" applyBorder="1" applyAlignment="1">
      <alignment horizontal="center" wrapText="1"/>
    </xf>
    <xf numFmtId="0" fontId="2" fillId="0" borderId="19" xfId="0" applyFont="1" applyBorder="1" applyAlignment="1">
      <alignment horizontal="center"/>
    </xf>
    <xf numFmtId="164" fontId="0" fillId="2" borderId="24" xfId="1" applyNumberFormat="1" applyFont="1" applyFill="1" applyBorder="1"/>
    <xf numFmtId="9" fontId="11" fillId="0" borderId="0" xfId="2" applyFont="1" applyBorder="1"/>
    <xf numFmtId="9" fontId="2" fillId="0" borderId="0" xfId="2" applyFont="1" applyBorder="1"/>
    <xf numFmtId="0" fontId="0" fillId="0" borderId="0" xfId="0" applyBorder="1"/>
    <xf numFmtId="0" fontId="11" fillId="0" borderId="0" xfId="0" applyFont="1" applyBorder="1"/>
    <xf numFmtId="0" fontId="11" fillId="0" borderId="0" xfId="0" applyFont="1" applyBorder="1" applyAlignment="1">
      <alignment horizontal="right"/>
    </xf>
    <xf numFmtId="0" fontId="12" fillId="0" borderId="0" xfId="0" applyFont="1" applyBorder="1" applyAlignment="1">
      <alignment horizontal="right"/>
    </xf>
    <xf numFmtId="164" fontId="11" fillId="0" borderId="0" xfId="1" applyNumberFormat="1" applyFont="1" applyBorder="1"/>
    <xf numFmtId="9" fontId="12" fillId="0" borderId="0" xfId="2" applyFont="1" applyBorder="1"/>
    <xf numFmtId="10" fontId="12" fillId="0" borderId="0" xfId="2" applyNumberFormat="1" applyFont="1" applyBorder="1"/>
    <xf numFmtId="9" fontId="1" fillId="0" borderId="0" xfId="2" applyFont="1" applyAlignment="1">
      <alignment horizontal="right"/>
    </xf>
    <xf numFmtId="0" fontId="2" fillId="4" borderId="23" xfId="0" applyFont="1" applyFill="1" applyBorder="1" applyAlignment="1">
      <alignment horizontal="center"/>
    </xf>
    <xf numFmtId="164" fontId="0" fillId="2" borderId="25" xfId="1" applyNumberFormat="1" applyFont="1" applyFill="1" applyBorder="1"/>
    <xf numFmtId="0" fontId="2" fillId="0" borderId="0" xfId="0" applyFont="1" applyAlignment="1">
      <alignment horizontal="center"/>
    </xf>
    <xf numFmtId="165" fontId="0" fillId="0" borderId="0" xfId="0" applyNumberFormat="1"/>
    <xf numFmtId="14" fontId="0" fillId="0" borderId="0" xfId="0" applyNumberFormat="1"/>
    <xf numFmtId="166" fontId="0" fillId="0" borderId="0" xfId="2" applyNumberFormat="1" applyFont="1"/>
    <xf numFmtId="0" fontId="8" fillId="0" borderId="0" xfId="0" applyFont="1"/>
    <xf numFmtId="0" fontId="0" fillId="0" borderId="0" xfId="1" applyNumberFormat="1" applyFont="1"/>
    <xf numFmtId="0" fontId="0" fillId="0" borderId="0" xfId="1" applyNumberFormat="1" applyFont="1" applyAlignment="1">
      <alignment horizontal="left"/>
    </xf>
    <xf numFmtId="0" fontId="0" fillId="0" borderId="0" xfId="0" applyFont="1" applyAlignment="1">
      <alignment horizontal="left"/>
    </xf>
    <xf numFmtId="0" fontId="0" fillId="0" borderId="0" xfId="1" applyNumberFormat="1" applyFont="1" applyAlignment="1">
      <alignment horizontal="right"/>
    </xf>
    <xf numFmtId="164" fontId="0" fillId="0" borderId="8" xfId="1" applyNumberFormat="1" applyFont="1" applyFill="1" applyBorder="1"/>
    <xf numFmtId="164" fontId="0" fillId="0" borderId="0" xfId="1" applyNumberFormat="1" applyFont="1" applyFill="1" applyBorder="1"/>
    <xf numFmtId="0" fontId="2" fillId="5" borderId="19" xfId="0" applyFont="1" applyFill="1" applyBorder="1" applyAlignment="1">
      <alignment horizontal="center" wrapText="1"/>
    </xf>
    <xf numFmtId="164" fontId="0" fillId="0" borderId="0" xfId="2" applyNumberFormat="1" applyFont="1"/>
    <xf numFmtId="167" fontId="0" fillId="0" borderId="0" xfId="0" applyNumberFormat="1"/>
    <xf numFmtId="8" fontId="0" fillId="0" borderId="0" xfId="0" applyNumberFormat="1"/>
    <xf numFmtId="0" fontId="13" fillId="0" borderId="0" xfId="0" applyFont="1" applyAlignment="1">
      <alignment horizontal="right"/>
    </xf>
    <xf numFmtId="0" fontId="2" fillId="6" borderId="19" xfId="0" applyFont="1" applyFill="1" applyBorder="1" applyAlignment="1">
      <alignment horizontal="center" wrapText="1"/>
    </xf>
    <xf numFmtId="0" fontId="2" fillId="7" borderId="19" xfId="0" applyFont="1" applyFill="1" applyBorder="1" applyAlignment="1">
      <alignment horizontal="center" wrapText="1"/>
    </xf>
    <xf numFmtId="0" fontId="2" fillId="8" borderId="19" xfId="0" applyFont="1" applyFill="1" applyBorder="1" applyAlignment="1">
      <alignment horizontal="center" wrapText="1"/>
    </xf>
    <xf numFmtId="0" fontId="2" fillId="3" borderId="19" xfId="0" applyFont="1" applyFill="1" applyBorder="1" applyAlignment="1">
      <alignment horizontal="center" wrapText="1"/>
    </xf>
    <xf numFmtId="164" fontId="0" fillId="0" borderId="0" xfId="0" applyNumberFormat="1" applyBorder="1"/>
    <xf numFmtId="0" fontId="14" fillId="0" borderId="0" xfId="0" applyFont="1" applyAlignment="1">
      <alignment horizontal="right"/>
    </xf>
    <xf numFmtId="0" fontId="0" fillId="0" borderId="0" xfId="0" applyBorder="1" applyAlignment="1">
      <alignment horizontal="center"/>
    </xf>
    <xf numFmtId="0" fontId="12" fillId="0" borderId="19" xfId="0" applyFont="1" applyBorder="1" applyAlignment="1">
      <alignment horizontal="center"/>
    </xf>
    <xf numFmtId="164" fontId="11" fillId="0" borderId="0" xfId="0" applyNumberFormat="1" applyFont="1"/>
    <xf numFmtId="43" fontId="11" fillId="0" borderId="0" xfId="0" applyNumberFormat="1" applyFont="1"/>
    <xf numFmtId="0" fontId="2" fillId="9" borderId="19" xfId="0" applyFont="1" applyFill="1" applyBorder="1" applyAlignment="1">
      <alignment horizontal="center"/>
    </xf>
    <xf numFmtId="164" fontId="14" fillId="0" borderId="0" xfId="1" applyNumberFormat="1" applyFont="1"/>
    <xf numFmtId="10" fontId="1" fillId="0" borderId="0" xfId="2" applyNumberFormat="1" applyFont="1" applyBorder="1" applyAlignment="1">
      <alignment horizontal="right"/>
    </xf>
    <xf numFmtId="43" fontId="0" fillId="0" borderId="0" xfId="1" applyFont="1"/>
    <xf numFmtId="164" fontId="15" fillId="0" borderId="0" xfId="1" applyNumberFormat="1" applyFont="1"/>
    <xf numFmtId="43" fontId="0" fillId="0" borderId="9" xfId="0" applyNumberFormat="1" applyBorder="1"/>
    <xf numFmtId="9" fontId="2" fillId="0" borderId="19" xfId="2" applyFont="1" applyBorder="1" applyAlignment="1">
      <alignment horizontal="center"/>
    </xf>
    <xf numFmtId="0" fontId="0" fillId="0" borderId="19" xfId="0" applyBorder="1" applyAlignment="1">
      <alignment horizontal="center"/>
    </xf>
    <xf numFmtId="0" fontId="2" fillId="0" borderId="19" xfId="0" applyFont="1" applyBorder="1" applyAlignment="1">
      <alignment horizontal="center"/>
    </xf>
    <xf numFmtId="0" fontId="3" fillId="0" borderId="5" xfId="0" applyFont="1" applyFill="1" applyBorder="1" applyAlignment="1">
      <alignment vertical="top" wrapText="1"/>
    </xf>
    <xf numFmtId="0" fontId="3" fillId="0" borderId="6" xfId="0" applyFont="1" applyFill="1" applyBorder="1" applyAlignment="1">
      <alignment vertical="top" wrapText="1"/>
    </xf>
    <xf numFmtId="0" fontId="0" fillId="0" borderId="4" xfId="0" applyBorder="1" applyAlignment="1">
      <alignment vertical="top"/>
    </xf>
    <xf numFmtId="0" fontId="0" fillId="0" borderId="5" xfId="0" applyBorder="1" applyAlignment="1">
      <alignment vertical="top"/>
    </xf>
  </cellXfs>
  <cellStyles count="4">
    <cellStyle name="Comma" xfId="1" builtinId="3"/>
    <cellStyle name="Hyperlink" xfId="3" builtinId="8"/>
    <cellStyle name="Normal" xfId="0" builtinId="0"/>
    <cellStyle name="Percent" xfId="2" builtinId="5"/>
  </cellStyles>
  <dxfs count="0"/>
  <tableStyles count="0" defaultTableStyle="TableStyleMedium2" defaultPivotStyle="PivotStyleMedium9"/>
  <colors>
    <mruColors>
      <color rgb="FF109C13"/>
      <color rgb="FF16D81B"/>
      <color rgb="FF42EC46"/>
      <color rgb="FFFF2F2F"/>
      <color rgb="FFEBFA2E"/>
      <color rgb="FFFFCC00"/>
      <color rgb="FFF9D161"/>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CA"/>
  <c:roundedCorners val="0"/>
  <mc:AlternateContent xmlns:mc="http://schemas.openxmlformats.org/markup-compatibility/2006">
    <mc:Choice xmlns:c14="http://schemas.microsoft.com/office/drawing/2007/8/2/chart" Requires="c14">
      <c14:style val="120"/>
    </mc:Choice>
    <mc:Fallback>
      <c:style val="20"/>
    </mc:Fallback>
  </mc:AlternateContent>
  <c:chart>
    <c:title>
      <c:tx>
        <c:rich>
          <a:bodyPr/>
          <a:lstStyle/>
          <a:p>
            <a:pPr>
              <a:defRPr sz="1400"/>
            </a:pPr>
            <a:r>
              <a:rPr lang="en-US" sz="1400"/>
              <a:t>Taxes by Province (2013)</a:t>
            </a:r>
          </a:p>
        </c:rich>
      </c:tx>
      <c:layout/>
      <c:overlay val="0"/>
    </c:title>
    <c:autoTitleDeleted val="0"/>
    <c:plotArea>
      <c:layout/>
      <c:barChart>
        <c:barDir val="bar"/>
        <c:grouping val="clustered"/>
        <c:varyColors val="0"/>
        <c:ser>
          <c:idx val="0"/>
          <c:order val="0"/>
          <c:tx>
            <c:strRef>
              <c:f>Tax!$H$22</c:f>
              <c:strCache>
                <c:ptCount val="1"/>
                <c:pt idx="0">
                  <c:v>Average %</c:v>
                </c:pt>
              </c:strCache>
            </c:strRef>
          </c:tx>
          <c:invertIfNegative val="0"/>
          <c:dPt>
            <c:idx val="0"/>
            <c:invertIfNegative val="0"/>
            <c:bubble3D val="0"/>
          </c:dPt>
          <c:dLbls>
            <c:txPr>
              <a:bodyPr/>
              <a:lstStyle/>
              <a:p>
                <a:pPr>
                  <a:defRPr sz="800"/>
                </a:pPr>
                <a:endParaRPr lang="en-US"/>
              </a:p>
            </c:txPr>
            <c:dLblPos val="outEnd"/>
            <c:showLegendKey val="0"/>
            <c:showVal val="1"/>
            <c:showCatName val="0"/>
            <c:showSerName val="0"/>
            <c:showPercent val="0"/>
            <c:showBubbleSize val="0"/>
            <c:showLeaderLines val="0"/>
          </c:dLbls>
          <c:cat>
            <c:strRef>
              <c:f>Tax!$B$23:$B$35</c:f>
              <c:strCache>
                <c:ptCount val="13"/>
                <c:pt idx="0">
                  <c:v>British Columbia</c:v>
                </c:pt>
                <c:pt idx="1">
                  <c:v>Alberta</c:v>
                </c:pt>
                <c:pt idx="2">
                  <c:v>Saskatchewan</c:v>
                </c:pt>
                <c:pt idx="3">
                  <c:v>Manitoba</c:v>
                </c:pt>
                <c:pt idx="4">
                  <c:v>Ontario</c:v>
                </c:pt>
                <c:pt idx="5">
                  <c:v>Quebec</c:v>
                </c:pt>
                <c:pt idx="6">
                  <c:v>New Brunswick</c:v>
                </c:pt>
                <c:pt idx="7">
                  <c:v>Newfoundland and Labrador</c:v>
                </c:pt>
                <c:pt idx="8">
                  <c:v>Nova Scotia</c:v>
                </c:pt>
                <c:pt idx="9">
                  <c:v>Prince Edward Island</c:v>
                </c:pt>
                <c:pt idx="10">
                  <c:v>Northwest Territories</c:v>
                </c:pt>
                <c:pt idx="11">
                  <c:v>Nunavut</c:v>
                </c:pt>
                <c:pt idx="12">
                  <c:v>Yukon</c:v>
                </c:pt>
              </c:strCache>
            </c:strRef>
          </c:cat>
          <c:val>
            <c:numRef>
              <c:f>Tax!$H$23:$H$35</c:f>
              <c:numCache>
                <c:formatCode>0.00%</c:formatCode>
                <c:ptCount val="13"/>
                <c:pt idx="0">
                  <c:v>0.22711064941176473</c:v>
                </c:pt>
                <c:pt idx="1">
                  <c:v>0.24394976470588234</c:v>
                </c:pt>
                <c:pt idx="2">
                  <c:v>0.26482823529411764</c:v>
                </c:pt>
                <c:pt idx="3">
                  <c:v>0.28359479999999998</c:v>
                </c:pt>
                <c:pt idx="4">
                  <c:v>0.23261170823529409</c:v>
                </c:pt>
                <c:pt idx="5">
                  <c:v>0.32602623529411762</c:v>
                </c:pt>
                <c:pt idx="6">
                  <c:v>0.27105869411764705</c:v>
                </c:pt>
                <c:pt idx="7">
                  <c:v>0.26458154117647054</c:v>
                </c:pt>
                <c:pt idx="8">
                  <c:v>0.28915776588235298</c:v>
                </c:pt>
                <c:pt idx="9">
                  <c:v>0.28588452941176468</c:v>
                </c:pt>
                <c:pt idx="10">
                  <c:v>0.23129290588235291</c:v>
                </c:pt>
                <c:pt idx="11">
                  <c:v>0.21458070588235295</c:v>
                </c:pt>
                <c:pt idx="12">
                  <c:v>0.23877581647058824</c:v>
                </c:pt>
              </c:numCache>
            </c:numRef>
          </c:val>
        </c:ser>
        <c:dLbls>
          <c:dLblPos val="inEnd"/>
          <c:showLegendKey val="0"/>
          <c:showVal val="1"/>
          <c:showCatName val="0"/>
          <c:showSerName val="0"/>
          <c:showPercent val="0"/>
          <c:showBubbleSize val="0"/>
        </c:dLbls>
        <c:gapWidth val="150"/>
        <c:axId val="257311104"/>
        <c:axId val="257313792"/>
      </c:barChart>
      <c:catAx>
        <c:axId val="257311104"/>
        <c:scaling>
          <c:orientation val="minMax"/>
        </c:scaling>
        <c:delete val="0"/>
        <c:axPos val="l"/>
        <c:majorTickMark val="out"/>
        <c:minorTickMark val="none"/>
        <c:tickLblPos val="nextTo"/>
        <c:txPr>
          <a:bodyPr/>
          <a:lstStyle/>
          <a:p>
            <a:pPr>
              <a:defRPr sz="800"/>
            </a:pPr>
            <a:endParaRPr lang="en-US"/>
          </a:p>
        </c:txPr>
        <c:crossAx val="257313792"/>
        <c:crosses val="autoZero"/>
        <c:auto val="1"/>
        <c:lblAlgn val="ctr"/>
        <c:lblOffset val="100"/>
        <c:noMultiLvlLbl val="0"/>
      </c:catAx>
      <c:valAx>
        <c:axId val="257313792"/>
        <c:scaling>
          <c:orientation val="minMax"/>
        </c:scaling>
        <c:delete val="0"/>
        <c:axPos val="b"/>
        <c:majorGridlines/>
        <c:numFmt formatCode="0.00%" sourceLinked="1"/>
        <c:majorTickMark val="out"/>
        <c:minorTickMark val="none"/>
        <c:tickLblPos val="nextTo"/>
        <c:txPr>
          <a:bodyPr/>
          <a:lstStyle/>
          <a:p>
            <a:pPr>
              <a:defRPr sz="800"/>
            </a:pPr>
            <a:endParaRPr lang="en-US"/>
          </a:p>
        </c:txPr>
        <c:crossAx val="257311104"/>
        <c:crosses val="autoZero"/>
        <c:crossBetween val="between"/>
      </c:valAx>
    </c:plotArea>
    <c:plotVisOnly val="1"/>
    <c:dispBlanksAs val="gap"/>
    <c:showDLblsOverMax val="0"/>
  </c:chart>
  <c:printSettings>
    <c:headerFooter/>
    <c:pageMargins b="0.75" l="0.7" r="0.7" t="0.75" header="0.3" footer="0.3"/>
    <c:pageSetup/>
  </c:printSettings>
</c:chartSpace>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image" Target="../media/image1.tmp"/></Relationships>
</file>

<file path=xl/drawings/drawing1.xml><?xml version="1.0" encoding="utf-8"?>
<xdr:wsDr xmlns:xdr="http://schemas.openxmlformats.org/drawingml/2006/spreadsheetDrawing" xmlns:a="http://schemas.openxmlformats.org/drawingml/2006/main">
  <xdr:twoCellAnchor>
    <xdr:from>
      <xdr:col>8</xdr:col>
      <xdr:colOff>381000</xdr:colOff>
      <xdr:row>4</xdr:row>
      <xdr:rowOff>104775</xdr:rowOff>
    </xdr:from>
    <xdr:to>
      <xdr:col>12</xdr:col>
      <xdr:colOff>95250</xdr:colOff>
      <xdr:row>9</xdr:row>
      <xdr:rowOff>152400</xdr:rowOff>
    </xdr:to>
    <xdr:sp macro="[0]!TaxProjection" textlink="">
      <xdr:nvSpPr>
        <xdr:cNvPr id="2" name="Cloud Callout 1"/>
        <xdr:cNvSpPr/>
      </xdr:nvSpPr>
      <xdr:spPr>
        <a:xfrm>
          <a:off x="7162800" y="914400"/>
          <a:ext cx="2152650" cy="1000125"/>
        </a:xfrm>
        <a:prstGeom prst="cloudCallout">
          <a:avLst>
            <a:gd name="adj1" fmla="val -22197"/>
            <a:gd name="adj2" fmla="val 84405"/>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ctr"/>
          <a:r>
            <a:rPr lang="en-CA" sz="1100" b="1">
              <a:solidFill>
                <a:sysClr val="windowText" lastClr="000000"/>
              </a:solidFill>
            </a:rPr>
            <a:t> How much is the</a:t>
          </a:r>
          <a:r>
            <a:rPr lang="en-CA" sz="1100" b="1" baseline="0">
              <a:solidFill>
                <a:sysClr val="windowText" lastClr="000000"/>
              </a:solidFill>
            </a:rPr>
            <a:t> tax man screwing me?</a:t>
          </a:r>
          <a:endParaRPr lang="en-CA" sz="1100" b="1">
            <a:solidFill>
              <a:sysClr val="windowText" lastClr="000000"/>
            </a:solidFill>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10</xdr:col>
      <xdr:colOff>280705</xdr:colOff>
      <xdr:row>21</xdr:row>
      <xdr:rowOff>11204</xdr:rowOff>
    </xdr:from>
    <xdr:to>
      <xdr:col>17</xdr:col>
      <xdr:colOff>366432</xdr:colOff>
      <xdr:row>35</xdr:row>
      <xdr:rowOff>73115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oneCell">
    <xdr:from>
      <xdr:col>3</xdr:col>
      <xdr:colOff>142875</xdr:colOff>
      <xdr:row>15</xdr:row>
      <xdr:rowOff>54600</xdr:rowOff>
    </xdr:from>
    <xdr:to>
      <xdr:col>8</xdr:col>
      <xdr:colOff>516187</xdr:colOff>
      <xdr:row>24</xdr:row>
      <xdr:rowOff>181964</xdr:rowOff>
    </xdr:to>
    <xdr:pic>
      <xdr:nvPicPr>
        <xdr:cNvPr id="4" name="Picture 3" descr="About the tax-free savings account (TFSA) - Google Chrome"/>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524375" y="2959725"/>
          <a:ext cx="3421312" cy="1841864"/>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openxmlformats.org/officeDocument/2006/relationships/hyperlink" Target="http://www.cra-arc.gc.ca/tx/ndvdls/fq/txrts-eng.html" TargetMode="External"/></Relationships>
</file>

<file path=xl/worksheets/_rels/sheet7.xml.rels><?xml version="1.0" encoding="UTF-8" standalone="yes"?>
<Relationships xmlns="http://schemas.openxmlformats.org/package/2006/relationships"><Relationship Id="rId2" Type="http://schemas.openxmlformats.org/officeDocument/2006/relationships/hyperlink" Target="https://www.spdrs.com/product/fund.seam?ticker=dia" TargetMode="External"/><Relationship Id="rId1" Type="http://schemas.openxmlformats.org/officeDocument/2006/relationships/hyperlink" Target="https://www.spdrs.com/product/fund.seam?ticker=spy" TargetMode="Externa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hyperlink" Target="http://www.cra-arc.gc.ca/tx/rgstrd/tfsa-celi/bt-eng.html"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FFFF00"/>
  </sheetPr>
  <dimension ref="A1:P22"/>
  <sheetViews>
    <sheetView tabSelected="1" workbookViewId="0"/>
  </sheetViews>
  <sheetFormatPr defaultRowHeight="15" x14ac:dyDescent="0.25"/>
  <cols>
    <col min="2" max="2" width="8.42578125" customWidth="1"/>
    <col min="3" max="3" width="11.140625" customWidth="1"/>
    <col min="4" max="4" width="22.140625" customWidth="1"/>
    <col min="6" max="6" width="8.42578125" customWidth="1"/>
    <col min="7" max="7" width="11.140625" customWidth="1"/>
    <col min="8" max="8" width="22.140625" customWidth="1"/>
  </cols>
  <sheetData>
    <row r="1" spans="1:15" ht="18.75" x14ac:dyDescent="0.3">
      <c r="A1" s="4" t="s">
        <v>168</v>
      </c>
    </row>
    <row r="2" spans="1:15" x14ac:dyDescent="0.25">
      <c r="A2" s="54" t="s">
        <v>181</v>
      </c>
      <c r="B2">
        <f ca="1">YEAR(TODAY())</f>
        <v>2013</v>
      </c>
    </row>
    <row r="4" spans="1:15" x14ac:dyDescent="0.25">
      <c r="B4" s="36" t="s">
        <v>164</v>
      </c>
      <c r="F4" s="36" t="s">
        <v>179</v>
      </c>
    </row>
    <row r="5" spans="1:15" x14ac:dyDescent="0.25">
      <c r="C5" s="54" t="s">
        <v>165</v>
      </c>
      <c r="D5" s="54" t="s">
        <v>187</v>
      </c>
      <c r="E5" s="54"/>
      <c r="G5" s="54" t="s">
        <v>113</v>
      </c>
      <c r="H5">
        <v>55</v>
      </c>
    </row>
    <row r="6" spans="1:15" x14ac:dyDescent="0.25">
      <c r="C6" s="54" t="s">
        <v>167</v>
      </c>
      <c r="D6" s="97">
        <v>31140</v>
      </c>
      <c r="E6" s="97"/>
      <c r="G6" s="54" t="s">
        <v>180</v>
      </c>
      <c r="H6" s="16">
        <v>0.22</v>
      </c>
      <c r="J6" s="15"/>
    </row>
    <row r="7" spans="1:15" x14ac:dyDescent="0.25">
      <c r="C7" s="105" t="s">
        <v>175</v>
      </c>
      <c r="D7" s="111">
        <f ca="1">ROUNDDOWN((TODAY()-D6)/365, 0)</f>
        <v>28</v>
      </c>
      <c r="E7" s="97"/>
      <c r="G7" s="54"/>
    </row>
    <row r="8" spans="1:15" x14ac:dyDescent="0.25">
      <c r="C8" s="54" t="s">
        <v>152</v>
      </c>
      <c r="D8" s="27">
        <v>85000</v>
      </c>
      <c r="E8" s="27"/>
      <c r="G8" s="54"/>
      <c r="I8" s="27"/>
    </row>
    <row r="9" spans="1:15" x14ac:dyDescent="0.25">
      <c r="C9" s="54" t="s">
        <v>166</v>
      </c>
      <c r="D9" s="51" t="s">
        <v>3</v>
      </c>
      <c r="E9" s="51"/>
    </row>
    <row r="11" spans="1:15" x14ac:dyDescent="0.25">
      <c r="B11" s="36" t="s">
        <v>169</v>
      </c>
      <c r="F11" s="36" t="s">
        <v>170</v>
      </c>
    </row>
    <row r="12" spans="1:15" x14ac:dyDescent="0.25">
      <c r="C12" s="54" t="s">
        <v>112</v>
      </c>
      <c r="D12" s="27">
        <v>23500</v>
      </c>
      <c r="G12" s="54" t="s">
        <v>101</v>
      </c>
      <c r="H12" s="15">
        <v>0.06</v>
      </c>
    </row>
    <row r="13" spans="1:15" x14ac:dyDescent="0.25">
      <c r="C13" s="54" t="s">
        <v>114</v>
      </c>
      <c r="D13" s="27">
        <v>120000</v>
      </c>
      <c r="G13" s="54" t="s">
        <v>111</v>
      </c>
      <c r="H13" s="15">
        <v>0.02</v>
      </c>
    </row>
    <row r="14" spans="1:15" x14ac:dyDescent="0.25">
      <c r="C14" s="54" t="s">
        <v>182</v>
      </c>
      <c r="D14" s="27">
        <v>100000</v>
      </c>
      <c r="G14" s="54" t="s">
        <v>188</v>
      </c>
      <c r="H14" s="15">
        <v>0.02</v>
      </c>
    </row>
    <row r="15" spans="1:15" x14ac:dyDescent="0.25">
      <c r="E15" s="27"/>
    </row>
    <row r="16" spans="1:15" x14ac:dyDescent="0.25">
      <c r="E16" s="27"/>
      <c r="L16" s="27"/>
      <c r="O16" s="27"/>
    </row>
    <row r="17" spans="4:16" x14ac:dyDescent="0.25">
      <c r="E17" s="27"/>
      <c r="L17" s="27"/>
      <c r="O17" s="27"/>
    </row>
    <row r="18" spans="4:16" x14ac:dyDescent="0.25">
      <c r="E18" s="104"/>
      <c r="L18" s="54"/>
      <c r="M18" s="15"/>
      <c r="N18" s="15"/>
    </row>
    <row r="19" spans="4:16" x14ac:dyDescent="0.25">
      <c r="D19" s="27"/>
      <c r="E19" s="27"/>
      <c r="F19" s="27"/>
      <c r="L19" s="15"/>
      <c r="M19" s="15"/>
      <c r="N19" s="15"/>
      <c r="O19" s="27"/>
      <c r="P19" s="27"/>
    </row>
    <row r="21" spans="4:16" x14ac:dyDescent="0.25">
      <c r="E21" s="15"/>
    </row>
    <row r="22" spans="4:16" x14ac:dyDescent="0.25">
      <c r="E22" s="15"/>
    </row>
  </sheetData>
  <dataValidations count="1">
    <dataValidation type="list" allowBlank="1" showInputMessage="1" showErrorMessage="1" sqref="D9:E9">
      <formula1>Territory</formula1>
    </dataValidation>
  </dataValidation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theme="8" tint="0.39997558519241921"/>
  </sheetPr>
  <dimension ref="A1:AE112"/>
  <sheetViews>
    <sheetView zoomScale="85" zoomScaleNormal="85" workbookViewId="0">
      <pane xSplit="7" ySplit="8" topLeftCell="H10" activePane="bottomRight" state="frozen"/>
      <selection pane="topRight" activeCell="H1" sqref="H1"/>
      <selection pane="bottomLeft" activeCell="A9" sqref="A9"/>
      <selection pane="bottomRight" activeCell="I8" sqref="I8"/>
    </sheetView>
  </sheetViews>
  <sheetFormatPr defaultRowHeight="15" x14ac:dyDescent="0.25"/>
  <cols>
    <col min="2" max="2" width="5.5703125" bestFit="1" customWidth="1"/>
    <col min="3" max="3" width="12.5703125" customWidth="1"/>
    <col min="4" max="4" width="13.28515625" bestFit="1" customWidth="1"/>
    <col min="5" max="6" width="13.28515625" customWidth="1"/>
    <col min="7" max="7" width="8.7109375" bestFit="1" customWidth="1"/>
    <col min="8" max="8" width="3.140625" customWidth="1"/>
    <col min="9" max="14" width="12.140625" customWidth="1"/>
    <col min="15" max="15" width="3.140625" customWidth="1"/>
    <col min="16" max="20" width="13.28515625" customWidth="1"/>
    <col min="21" max="21" width="3.140625" customWidth="1"/>
    <col min="22" max="26" width="13.28515625" customWidth="1"/>
    <col min="27" max="27" width="3.140625" customWidth="1"/>
    <col min="28" max="31" width="13.28515625" customWidth="1"/>
  </cols>
  <sheetData>
    <row r="1" spans="1:31" ht="18.75" x14ac:dyDescent="0.3">
      <c r="A1" s="4" t="s">
        <v>142</v>
      </c>
      <c r="B1" s="4"/>
      <c r="C1" s="4"/>
    </row>
    <row r="2" spans="1:31" ht="15" customHeight="1" thickBot="1" x14ac:dyDescent="0.35">
      <c r="A2" s="4"/>
      <c r="B2" s="4"/>
      <c r="C2" s="4"/>
      <c r="R2" s="113"/>
    </row>
    <row r="3" spans="1:31" ht="15" customHeight="1" thickBot="1" x14ac:dyDescent="0.35">
      <c r="A3" s="4"/>
      <c r="B3" s="4"/>
      <c r="C3" s="4"/>
      <c r="I3" s="118" t="s">
        <v>176</v>
      </c>
      <c r="J3" s="118"/>
      <c r="K3" s="118"/>
      <c r="L3" s="118"/>
      <c r="M3" s="118"/>
      <c r="N3" s="118"/>
      <c r="P3" s="118" t="s">
        <v>177</v>
      </c>
      <c r="Q3" s="117"/>
      <c r="R3" s="117"/>
      <c r="S3" s="117"/>
      <c r="T3" s="117"/>
      <c r="V3" s="118" t="s">
        <v>177</v>
      </c>
      <c r="W3" s="117"/>
      <c r="X3" s="117"/>
      <c r="Y3" s="117"/>
      <c r="Z3" s="117"/>
      <c r="AB3" s="118" t="s">
        <v>177</v>
      </c>
      <c r="AC3" s="117"/>
      <c r="AD3" s="117"/>
      <c r="AE3" s="117"/>
    </row>
    <row r="4" spans="1:31" ht="15" customHeight="1" x14ac:dyDescent="0.3">
      <c r="A4" s="4"/>
      <c r="B4" s="99" t="s">
        <v>183</v>
      </c>
      <c r="C4" s="4"/>
      <c r="F4" s="112">
        <f ca="1">F5/$E$5</f>
        <v>0.22000000000000006</v>
      </c>
      <c r="I4" s="112">
        <f t="shared" ref="I4:N4" ca="1" si="0">I5/$E$5</f>
        <v>7.8436160964816329E-2</v>
      </c>
      <c r="J4" s="112">
        <f t="shared" ca="1" si="0"/>
        <v>0.18697442288998622</v>
      </c>
      <c r="K4" s="112">
        <f t="shared" ca="1" si="0"/>
        <v>7.9678304018697497E-3</v>
      </c>
      <c r="L4" s="112">
        <f t="shared" ca="1" si="0"/>
        <v>2.2616739170941549E-2</v>
      </c>
      <c r="M4" s="112">
        <f t="shared" ca="1" si="0"/>
        <v>6.4780606664938054E-2</v>
      </c>
      <c r="N4" s="112">
        <f t="shared" ca="1" si="0"/>
        <v>0.23121454676267583</v>
      </c>
      <c r="P4" s="112">
        <f ca="1">P5/$E$5</f>
        <v>4.762062829997165E-2</v>
      </c>
      <c r="Q4" s="112">
        <f ca="1">Q5/$E$5</f>
        <v>8.275902368321468E-2</v>
      </c>
      <c r="R4" s="112">
        <f ca="1">R5/$E$5</f>
        <v>6.3024657345996257E-2</v>
      </c>
      <c r="S4" s="112">
        <f ca="1">S5/$E$5</f>
        <v>3.9737452325668846E-2</v>
      </c>
      <c r="T4" s="112">
        <f ca="1">T5/$E$5</f>
        <v>8.9408338840226906E-2</v>
      </c>
      <c r="V4" s="112">
        <f ca="1">V5/$E$5</f>
        <v>0.178322709608532</v>
      </c>
      <c r="W4" s="112">
        <f ca="1">W5/$E$5</f>
        <v>0.38473040382136808</v>
      </c>
      <c r="X4" s="112">
        <f ca="1">X5/$E$5</f>
        <v>0.29701728318093318</v>
      </c>
      <c r="Y4" s="112">
        <f ca="1">Y5/$E$5</f>
        <v>0.178322709608532</v>
      </c>
      <c r="Z4" s="112">
        <f ca="1">Z5/$E$5</f>
        <v>0.41542077615754847</v>
      </c>
      <c r="AB4" s="112">
        <f ca="1">AB5/$E$5</f>
        <v>9.13709913386581E-2</v>
      </c>
      <c r="AC4" s="112">
        <f ca="1">AC5/$E$5</f>
        <v>9.4707686368491778E-2</v>
      </c>
      <c r="AD4" s="112">
        <f ca="1">AD5/$E$5</f>
        <v>1.9398380657992158E-3</v>
      </c>
      <c r="AE4" s="112">
        <f ca="1">AE5/$E$5</f>
        <v>9.765041600178892E-2</v>
      </c>
    </row>
    <row r="5" spans="1:31" ht="15" customHeight="1" x14ac:dyDescent="0.3">
      <c r="A5" s="4"/>
      <c r="B5" s="99" t="s">
        <v>171</v>
      </c>
      <c r="C5" s="4"/>
      <c r="E5" s="27">
        <f ca="1">SUMPRODUCT($G$9:$G$83, E9:E83)</f>
        <v>3131512.4370800927</v>
      </c>
      <c r="F5" s="27">
        <f ca="1">SUMPRODUCT($G$9:$G$83, F9:F83)</f>
        <v>688932.73615762056</v>
      </c>
      <c r="G5" s="98"/>
      <c r="I5" s="27">
        <f t="shared" ref="I5:N5" ca="1" si="1">SUMPRODUCT($G$9:$G$83, I9:I83)</f>
        <v>245623.81357813842</v>
      </c>
      <c r="J5" s="27">
        <f t="shared" ca="1" si="1"/>
        <v>585512.73069586465</v>
      </c>
      <c r="K5" s="27">
        <f t="shared" ca="1" si="1"/>
        <v>24951.359999999997</v>
      </c>
      <c r="L5" s="27">
        <f t="shared" ca="1" si="1"/>
        <v>70824.599999999962</v>
      </c>
      <c r="M5" s="27">
        <f t="shared" ca="1" si="1"/>
        <v>202861.27545284707</v>
      </c>
      <c r="N5" s="27">
        <f t="shared" ca="1" si="1"/>
        <v>724051.22882115608</v>
      </c>
      <c r="P5" s="27">
        <f ca="1">SUMPRODUCT($G$9:$G$83, P9:P83)</f>
        <v>149124.58978292946</v>
      </c>
      <c r="Q5" s="27">
        <f ca="1">PRODUCT(MIN($G9:$G83), Q6)</f>
        <v>259160.91194459272</v>
      </c>
      <c r="R5" s="27">
        <f ca="1">SUMPRODUCT($G$9:$G$83, R9:R83)</f>
        <v>197362.49832169851</v>
      </c>
      <c r="S5" s="27">
        <f ca="1">SUMPRODUCT($G$9:$G$83, S9:S83)</f>
        <v>124438.32617570926</v>
      </c>
      <c r="T5" s="27">
        <f ca="1">PRODUCT(MIN($G9:$G83), T6)</f>
        <v>279983.32505684166</v>
      </c>
      <c r="V5" s="27">
        <f ca="1">SUMPRODUCT($G$9:$G$83, V9:V83)</f>
        <v>558419.78295293974</v>
      </c>
      <c r="W5" s="27">
        <f ca="1">PRODUCT(MIN($G9:$G83), W6)</f>
        <v>1204788.0444894605</v>
      </c>
      <c r="X5" s="27">
        <f ca="1">SUMPRODUCT($G$9:$G$83, X9:X83)</f>
        <v>930113.31630883215</v>
      </c>
      <c r="Y5" s="27">
        <f ca="1">SUMPRODUCT($G$9:$G$83, Y9:Y83)</f>
        <v>558419.78295293974</v>
      </c>
      <c r="Z5" s="27">
        <f ca="1">PRODUCT(MIN($G9:$G83), Z6)</f>
        <v>1300895.3271588283</v>
      </c>
      <c r="AB5" s="27">
        <f ca="1">PRODUCT(MIN($G9:$G83), AB6)</f>
        <v>286129.39576534525</v>
      </c>
      <c r="AC5" s="27">
        <f ca="1">SUMPRODUCT($G$9:$G$83, AC9:AC83)</f>
        <v>296578.29775001277</v>
      </c>
      <c r="AD5" s="27">
        <f ca="1">SUMPRODUCT($G$9:$G$83, AD9:AD83)</f>
        <v>6074.6270289716358</v>
      </c>
      <c r="AE5" s="27">
        <f ca="1">PRODUCT(MIN($G9:$G83), AE6)</f>
        <v>305793.49219564692</v>
      </c>
    </row>
    <row r="6" spans="1:31" ht="15" customHeight="1" thickBot="1" x14ac:dyDescent="0.35">
      <c r="A6" s="4"/>
      <c r="B6" s="99" t="s">
        <v>68</v>
      </c>
      <c r="C6" s="4"/>
      <c r="E6" s="34">
        <f ca="1">SUM(E9:E83)</f>
        <v>4247244.5532623166</v>
      </c>
      <c r="F6" s="34">
        <f ca="1">SUM(F9:F83)</f>
        <v>934393.80171770952</v>
      </c>
      <c r="G6" s="34"/>
      <c r="I6" s="34">
        <f t="shared" ref="I6:N6" si="2">SUM(I9:I83)</f>
        <v>336568.26372700097</v>
      </c>
      <c r="J6" s="34">
        <f t="shared" si="2"/>
        <v>801838.88326415385</v>
      </c>
      <c r="K6" s="34">
        <f t="shared" ca="1" si="2"/>
        <v>33017.074530285485</v>
      </c>
      <c r="L6" s="34">
        <f t="shared" ca="1" si="2"/>
        <v>93719.183915331989</v>
      </c>
      <c r="M6" s="34">
        <f t="shared" si="2"/>
        <v>276173.92074249405</v>
      </c>
      <c r="N6" s="34">
        <f t="shared" ca="1" si="2"/>
        <v>988969.48469427798</v>
      </c>
      <c r="P6" s="34">
        <f ca="1">SUM(P9:P83)</f>
        <v>197500</v>
      </c>
      <c r="Q6" s="34">
        <f ca="1">MAX(Q9:Q83)</f>
        <v>442358.25587220141</v>
      </c>
      <c r="R6" s="34">
        <f ca="1">SUM(R9:R83)</f>
        <v>285898.93005549611</v>
      </c>
      <c r="S6" s="34">
        <f ca="1">SUM(S9:S83)</f>
        <v>168500.82116903734</v>
      </c>
      <c r="T6" s="34">
        <f ca="1">MAX(T9:T83)</f>
        <v>477899.75122453348</v>
      </c>
      <c r="V6" s="34">
        <f ca="1">SUM(V9:V83)</f>
        <v>755726.50116186077</v>
      </c>
      <c r="W6" s="34">
        <f ca="1">MAX(W9:W83)</f>
        <v>2056436.4203579414</v>
      </c>
      <c r="X6" s="34">
        <f ca="1">SUM(X9:X83)</f>
        <v>1344754.1402911483</v>
      </c>
      <c r="Y6" s="34">
        <f ca="1">SUM(Y9:Y83)</f>
        <v>755726.50116186077</v>
      </c>
      <c r="Z6" s="34">
        <f ca="1">MAX(Z9:Z83)</f>
        <v>2220480.6414530091</v>
      </c>
      <c r="AB6" s="34">
        <f ca="1">MAX(AB9:AB83)</f>
        <v>488390.39620135835</v>
      </c>
      <c r="AC6" s="34">
        <f ca="1">SUM(AC9:AC83)</f>
        <v>411788.29708679527</v>
      </c>
      <c r="AD6" s="34">
        <f ca="1">SUM(AD9:AD83)</f>
        <v>10166.479386811516</v>
      </c>
      <c r="AE6" s="34">
        <f ca="1">MAX(AE9:AE83)</f>
        <v>521954.77647360682</v>
      </c>
    </row>
    <row r="7" spans="1:31" ht="15.75" thickBot="1" x14ac:dyDescent="0.3">
      <c r="C7" s="118" t="s">
        <v>109</v>
      </c>
      <c r="D7" s="118"/>
      <c r="E7" s="118"/>
      <c r="F7" s="117"/>
      <c r="G7" s="106"/>
      <c r="H7" s="15"/>
      <c r="I7" s="116" t="s">
        <v>158</v>
      </c>
      <c r="J7" s="118"/>
      <c r="K7" s="118"/>
      <c r="L7" s="118"/>
      <c r="M7" s="118"/>
      <c r="N7" s="118"/>
      <c r="O7" s="15"/>
      <c r="P7" s="116" t="s">
        <v>162</v>
      </c>
      <c r="Q7" s="118"/>
      <c r="R7" s="118"/>
      <c r="S7" s="118"/>
      <c r="T7" s="118"/>
      <c r="U7" s="15"/>
      <c r="V7" s="116" t="s">
        <v>163</v>
      </c>
      <c r="W7" s="118"/>
      <c r="X7" s="118"/>
      <c r="Y7" s="118"/>
      <c r="Z7" s="118"/>
      <c r="AA7" s="15"/>
      <c r="AB7" s="116" t="s">
        <v>172</v>
      </c>
      <c r="AC7" s="117"/>
      <c r="AD7" s="117"/>
      <c r="AE7" s="117"/>
    </row>
    <row r="8" spans="1:31" ht="30.75" thickBot="1" x14ac:dyDescent="0.3">
      <c r="C8" s="110" t="s">
        <v>120</v>
      </c>
      <c r="D8" s="110" t="s">
        <v>110</v>
      </c>
      <c r="E8" s="110" t="s">
        <v>109</v>
      </c>
      <c r="F8" s="110" t="s">
        <v>174</v>
      </c>
      <c r="G8" s="107" t="s">
        <v>178</v>
      </c>
      <c r="H8" s="27"/>
      <c r="I8" s="101" t="s">
        <v>153</v>
      </c>
      <c r="J8" s="101" t="s">
        <v>154</v>
      </c>
      <c r="K8" s="101" t="s">
        <v>157</v>
      </c>
      <c r="L8" s="101" t="s">
        <v>155</v>
      </c>
      <c r="M8" s="102" t="s">
        <v>173</v>
      </c>
      <c r="N8" s="101" t="s">
        <v>156</v>
      </c>
      <c r="O8" s="15"/>
      <c r="P8" s="103" t="s">
        <v>186</v>
      </c>
      <c r="Q8" s="103" t="s">
        <v>159</v>
      </c>
      <c r="R8" s="103" t="s">
        <v>139</v>
      </c>
      <c r="S8" s="103" t="s">
        <v>161</v>
      </c>
      <c r="T8" s="103" t="s">
        <v>160</v>
      </c>
      <c r="U8" s="15"/>
      <c r="V8" s="95" t="s">
        <v>186</v>
      </c>
      <c r="W8" s="95" t="s">
        <v>159</v>
      </c>
      <c r="X8" s="95" t="s">
        <v>139</v>
      </c>
      <c r="Y8" s="95" t="s">
        <v>161</v>
      </c>
      <c r="Z8" s="95" t="s">
        <v>160</v>
      </c>
      <c r="AA8" s="15"/>
      <c r="AB8" s="100" t="s">
        <v>159</v>
      </c>
      <c r="AC8" s="100" t="s">
        <v>139</v>
      </c>
      <c r="AD8" s="100" t="s">
        <v>161</v>
      </c>
      <c r="AE8" s="100" t="s">
        <v>160</v>
      </c>
    </row>
    <row r="9" spans="1:31" x14ac:dyDescent="0.25">
      <c r="C9">
        <f ca="1">Year</f>
        <v>2013</v>
      </c>
      <c r="D9">
        <f ca="1">Current_Age</f>
        <v>28</v>
      </c>
      <c r="E9" s="34">
        <f>UserForm!D8</f>
        <v>85000</v>
      </c>
      <c r="F9" s="34">
        <f>Savings_Rate*E9</f>
        <v>18700</v>
      </c>
      <c r="G9" s="108">
        <v>1</v>
      </c>
      <c r="H9" s="27"/>
      <c r="I9" s="34">
        <v>5776.9651999999996</v>
      </c>
      <c r="J9" s="34">
        <v>13995.029999999999</v>
      </c>
      <c r="K9" s="34">
        <f ca="1">IF(ISNUMBER(D9), MIN(0.0188*E9, 0.0188*47400*(1+Inflation)^(D9-Current_Age)), "")</f>
        <v>891.12</v>
      </c>
      <c r="L9" s="34">
        <f t="shared" ref="L9:L41" ca="1" si="3">IF(ISNUMBER(D9), MIN(0.0495*E9, 0.0495*51100*(1+Inflation)^(D9-Current_Age)), "")</f>
        <v>2529.4500000000003</v>
      </c>
      <c r="M9" s="34">
        <v>4877.5451999999996</v>
      </c>
      <c r="N9" s="34">
        <f ca="1">IF(ISNUMBER(D9), SUM(I9:L9)-M9, "")</f>
        <v>18315.019999999997</v>
      </c>
      <c r="O9" s="15"/>
      <c r="P9" s="93">
        <v>5500</v>
      </c>
      <c r="Q9" s="93">
        <f>TFSA</f>
        <v>23500</v>
      </c>
      <c r="R9" s="93">
        <f t="shared" ref="R9" si="4">Q9*(Return)</f>
        <v>1410</v>
      </c>
      <c r="S9" s="93">
        <f>IF(F9-Y9&gt;0, IF(F9-Y9-P9&gt;0, P9, F9-Y9), F9-Y9)</f>
        <v>3400</v>
      </c>
      <c r="T9" s="93">
        <f>SUM(Q9:S9)</f>
        <v>28310</v>
      </c>
      <c r="U9" s="15"/>
      <c r="V9" s="93">
        <f>MIN(23820, 0.18*E9)</f>
        <v>15300</v>
      </c>
      <c r="W9" s="93">
        <f>RRSP</f>
        <v>120000</v>
      </c>
      <c r="X9" s="93">
        <f t="shared" ref="X9" si="5">W9*(Return)</f>
        <v>7200</v>
      </c>
      <c r="Y9" s="96">
        <f>IF(F9&lt;V9, F9, V9)</f>
        <v>15300</v>
      </c>
      <c r="Z9" s="93">
        <f>SUM(W9:Y9)</f>
        <v>142500</v>
      </c>
      <c r="AA9" s="15"/>
      <c r="AB9" s="93">
        <f>Margin</f>
        <v>100000</v>
      </c>
      <c r="AC9" s="93">
        <f t="shared" ref="AC9:AC40" si="6">AB9*(Return)</f>
        <v>6000</v>
      </c>
      <c r="AD9" s="96">
        <f>IF(F9-S9-Y9&gt;0, F9-S9-Y9, 0)</f>
        <v>0</v>
      </c>
      <c r="AE9" s="93">
        <f>SUM(AB9:AD9)</f>
        <v>106000</v>
      </c>
    </row>
    <row r="10" spans="1:31" x14ac:dyDescent="0.25">
      <c r="C10">
        <f ca="1">IF(ISNUMBER(D10), C9+1, "")</f>
        <v>2014</v>
      </c>
      <c r="D10">
        <f t="shared" ref="D10:D73" ca="1" si="7">IF(ISERROR(IF(D9+1&lt;=Retirement_Age, D9+1, "")), "", IF(D9+1&lt;=Retirement_Age, D9+1, ""))</f>
        <v>29</v>
      </c>
      <c r="E10" s="34">
        <f ca="1">IF(ISNUMBER(D10), E9*(1+Inflation+Productivity), "")</f>
        <v>88400</v>
      </c>
      <c r="F10" s="34">
        <f t="shared" ref="F10:F41" ca="1" si="8">IF(ISNUMBER(D10), Savings_Rate*E10, "")</f>
        <v>19448</v>
      </c>
      <c r="G10" s="109">
        <f t="shared" ref="G10:G41" ca="1" si="9">IF(ISNUMBER(D10), (1+Inflation)^-(D10-Current_Age), "")</f>
        <v>0.98039215686274506</v>
      </c>
      <c r="H10" s="34"/>
      <c r="I10" s="34">
        <v>6082.2245040000007</v>
      </c>
      <c r="J10" s="34">
        <v>14648.930599999998</v>
      </c>
      <c r="K10" s="34">
        <f ca="1">IF(ISNUMBER(D10), MIN(0.0188*E10, 0.0188*47400*(1+Inflation)^(D10-Current_Age)), "")</f>
        <v>908.94240000000002</v>
      </c>
      <c r="L10" s="34">
        <f t="shared" ca="1" si="3"/>
        <v>2580.0390000000002</v>
      </c>
      <c r="M10" s="34">
        <v>5104.5851040000007</v>
      </c>
      <c r="N10" s="34">
        <f t="shared" ref="N10:N41" ca="1" si="10">IF(ISNUMBER(D10), SUM(I10:L10)-M10, "")</f>
        <v>19115.551399999997</v>
      </c>
      <c r="O10" s="15"/>
      <c r="P10" s="94">
        <f ca="1">IF(P9+500&lt;$P$9*(1+Inflation)^(D10-Current_Age), P9+500, P9)</f>
        <v>5500</v>
      </c>
      <c r="Q10" s="94">
        <f ca="1">IF(ISNUMBER(D10), T9, "")</f>
        <v>28310</v>
      </c>
      <c r="R10" s="94">
        <f t="shared" ref="R10:R41" ca="1" si="11">IF(ISNUMBER(D10), Q10*(Return), "")</f>
        <v>1698.6</v>
      </c>
      <c r="S10" s="94">
        <f ca="1">IF(ISNUMBER(D10), IF(F10-Y10&gt;0, IF(F10-Y10-P10&gt;0, P10, F10-Y10), F10-Y10), "")</f>
        <v>3536</v>
      </c>
      <c r="T10" s="94">
        <f ca="1">IF(ISNUMBER(D10), SUM(Q10:S10), "")</f>
        <v>33544.6</v>
      </c>
      <c r="U10" s="15"/>
      <c r="V10" s="94">
        <f ca="1">IF(ISNUMBER($D10), (V9-Y9)+MIN(23820*(1+Inflation)^($D10-Current_Age), 0.18*$E10), "")</f>
        <v>15912</v>
      </c>
      <c r="W10" s="96">
        <f ca="1">IF(ISNUMBER(D10), Z9, "")</f>
        <v>142500</v>
      </c>
      <c r="X10" s="34">
        <f t="shared" ref="X10:X41" ca="1" si="12">IF(ISNUMBER(D10), W10*(Return), "")</f>
        <v>8550</v>
      </c>
      <c r="Y10" s="34">
        <f ca="1">IF(ISNUMBER(D10), IF(F10&lt;V10, F10, V10), "")</f>
        <v>15912</v>
      </c>
      <c r="Z10" s="34">
        <f ca="1">IF(ISNUMBER(D10), SUM(W10:Y10), "")</f>
        <v>166962</v>
      </c>
      <c r="AA10" s="15"/>
      <c r="AB10" s="94">
        <f ca="1">IF(ISNUMBER(D10), AE9, "")</f>
        <v>106000</v>
      </c>
      <c r="AC10" s="96">
        <f ca="1">IF(ISNUMBER(D10), AB10*(Return), "")</f>
        <v>6360</v>
      </c>
      <c r="AD10" s="34">
        <f ca="1">IF(ISNUMBER(D10), IF(F10-S10-Y10&gt;0, F10-S10-Y10, 0), "")</f>
        <v>0</v>
      </c>
      <c r="AE10" s="34">
        <f ca="1">IF(ISNUMBER(D10), SUM(AB10:AD10), "")</f>
        <v>112360</v>
      </c>
    </row>
    <row r="11" spans="1:31" x14ac:dyDescent="0.25">
      <c r="C11">
        <f t="shared" ref="C11:C41" ca="1" si="13">IF(ISNUMBER(D11), C10+1, "")</f>
        <v>2015</v>
      </c>
      <c r="D11">
        <f t="shared" ca="1" si="7"/>
        <v>30</v>
      </c>
      <c r="E11" s="34">
        <f ca="1">IF(ISNUMBER(D11), E10*(1+Inflation+Productivity), "")</f>
        <v>91936</v>
      </c>
      <c r="F11" s="34">
        <f t="shared" ca="1" si="8"/>
        <v>20225.920000000002</v>
      </c>
      <c r="G11" s="109">
        <f t="shared" ca="1" si="9"/>
        <v>0.96116878123798544</v>
      </c>
      <c r="H11" s="34"/>
      <c r="I11" s="34">
        <v>6401.1777940799993</v>
      </c>
      <c r="J11" s="34">
        <v>15382.598443999999</v>
      </c>
      <c r="K11" s="34">
        <f ca="1">IF(ISNUMBER(D11), MIN(0.0188*E11, 0.0188*47400*(1+Inflation)^(D11-Current_Age)), "")</f>
        <v>927.12124800000004</v>
      </c>
      <c r="L11" s="34">
        <f t="shared" ca="1" si="3"/>
        <v>2631.6397800000004</v>
      </c>
      <c r="M11" s="34">
        <v>5393.0745980799975</v>
      </c>
      <c r="N11" s="34">
        <f t="shared" ca="1" si="10"/>
        <v>19949.462668</v>
      </c>
      <c r="O11" s="34"/>
      <c r="P11" s="94">
        <f t="shared" ref="P11:P41" ca="1" si="14">IF(ISNUMBER(D11), IF(P10+500&lt;$P$9*(1+Inflation)^(D11-Current_Age), P10+500, P10), "")</f>
        <v>5500</v>
      </c>
      <c r="Q11" s="94">
        <f t="shared" ref="Q11:Q41" ca="1" si="15">IF(ISNUMBER(D11), T10, "")</f>
        <v>33544.6</v>
      </c>
      <c r="R11" s="94">
        <f t="shared" ca="1" si="11"/>
        <v>2012.6759999999999</v>
      </c>
      <c r="S11" s="94">
        <f t="shared" ref="S11:S41" ca="1" si="16">IF(ISNUMBER(D11), IF(F11-Y11&gt;0, IF(F11-Y11-P11&gt;0, P11, F11-Y11), F11-Y11), "")</f>
        <v>3677.4400000000023</v>
      </c>
      <c r="T11" s="94">
        <f t="shared" ref="T11:T41" ca="1" si="17">IF(ISNUMBER(D11), SUM(Q11:S11), "")</f>
        <v>39234.716</v>
      </c>
      <c r="U11" s="34"/>
      <c r="V11" s="94">
        <f t="shared" ref="V11:V41" ca="1" si="18">IF(ISNUMBER(D11), (V10-Y10)+MIN(23820*(1+Inflation)^(D11-Current_Age), 0.18*E11), "")</f>
        <v>16548.48</v>
      </c>
      <c r="W11" s="34">
        <f t="shared" ref="W11:W41" ca="1" si="19">IF(ISNUMBER(D11), Z10, "")</f>
        <v>166962</v>
      </c>
      <c r="X11" s="34">
        <f t="shared" ca="1" si="12"/>
        <v>10017.719999999999</v>
      </c>
      <c r="Y11" s="34">
        <f t="shared" ref="Y11:Y41" ca="1" si="20">IF(ISNUMBER(D11), IF(F11&lt;V11, F11, V11), "")</f>
        <v>16548.48</v>
      </c>
      <c r="Z11" s="34">
        <f t="shared" ref="Z11:Z41" ca="1" si="21">IF(ISNUMBER(D11), SUM(W11:Y11), "")</f>
        <v>193528.2</v>
      </c>
      <c r="AA11" s="34"/>
      <c r="AB11" s="34">
        <f t="shared" ref="AB11:AB40" ca="1" si="22">IF(ISNUMBER(D11), AE10, "")</f>
        <v>112360</v>
      </c>
      <c r="AC11" s="34">
        <f ca="1">IF(ISNUMBER(D11), AB11*(Return), "")</f>
        <v>6741.5999999999995</v>
      </c>
      <c r="AD11" s="34">
        <f t="shared" ref="AD11:AD40" ca="1" si="23">IF(ISNUMBER(D11), IF(F11-S11-Y11&gt;0, F11-S11-Y11, 0), "")</f>
        <v>0</v>
      </c>
      <c r="AE11" s="34">
        <f t="shared" ref="AE11:AE40" ca="1" si="24">IF(ISNUMBER(D11), SUM(AB11:AD11), "")</f>
        <v>119101.6</v>
      </c>
    </row>
    <row r="12" spans="1:31" x14ac:dyDescent="0.25">
      <c r="C12">
        <f t="shared" ca="1" si="13"/>
        <v>2016</v>
      </c>
      <c r="D12">
        <f t="shared" ca="1" si="7"/>
        <v>31</v>
      </c>
      <c r="E12" s="34">
        <f ca="1">IF(ISNUMBER(D12), E11*(1+Inflation+Productivity), "")</f>
        <v>95613.440000000002</v>
      </c>
      <c r="F12" s="34">
        <f t="shared" ca="1" si="8"/>
        <v>21034.9568</v>
      </c>
      <c r="G12" s="109">
        <f t="shared" ca="1" si="9"/>
        <v>0.94232233454704462</v>
      </c>
      <c r="H12" s="34"/>
      <c r="I12" s="34">
        <v>6734.4025019616001</v>
      </c>
      <c r="J12" s="34">
        <v>16168.317612880002</v>
      </c>
      <c r="K12" s="34">
        <f ca="1">IF(ISNUMBER(D12), MIN(0.0188*E12, 0.0188*47400*(1+Inflation)^(D12-Current_Age)), "")</f>
        <v>945.66367295999999</v>
      </c>
      <c r="L12" s="34">
        <f t="shared" ca="1" si="3"/>
        <v>2684.2725756</v>
      </c>
      <c r="M12" s="34">
        <v>5714.5401924416019</v>
      </c>
      <c r="N12" s="34">
        <f t="shared" ca="1" si="10"/>
        <v>20818.116170959998</v>
      </c>
      <c r="O12" s="34"/>
      <c r="P12" s="94">
        <f t="shared" ca="1" si="14"/>
        <v>5500</v>
      </c>
      <c r="Q12" s="94">
        <f t="shared" ca="1" si="15"/>
        <v>39234.716</v>
      </c>
      <c r="R12" s="94">
        <f t="shared" ca="1" si="11"/>
        <v>2354.0829599999997</v>
      </c>
      <c r="S12" s="94">
        <f t="shared" ca="1" si="16"/>
        <v>3824.5375999999997</v>
      </c>
      <c r="T12" s="94">
        <f t="shared" ca="1" si="17"/>
        <v>45413.336559999996</v>
      </c>
      <c r="U12" s="34"/>
      <c r="V12" s="94">
        <f t="shared" ca="1" si="18"/>
        <v>17210.4192</v>
      </c>
      <c r="W12" s="34">
        <f t="shared" ca="1" si="19"/>
        <v>193528.2</v>
      </c>
      <c r="X12" s="34">
        <f t="shared" ca="1" si="12"/>
        <v>11611.692000000001</v>
      </c>
      <c r="Y12" s="34">
        <f t="shared" ca="1" si="20"/>
        <v>17210.4192</v>
      </c>
      <c r="Z12" s="34">
        <f t="shared" ca="1" si="21"/>
        <v>222350.31120000003</v>
      </c>
      <c r="AA12" s="34"/>
      <c r="AB12" s="34">
        <f t="shared" ca="1" si="22"/>
        <v>119101.6</v>
      </c>
      <c r="AC12" s="34">
        <f ca="1">IF(ISNUMBER(D12), AB12*(Return), "")</f>
        <v>7146.0960000000005</v>
      </c>
      <c r="AD12" s="34">
        <f t="shared" ca="1" si="23"/>
        <v>0</v>
      </c>
      <c r="AE12" s="34">
        <f t="shared" ca="1" si="24"/>
        <v>126247.69600000001</v>
      </c>
    </row>
    <row r="13" spans="1:31" x14ac:dyDescent="0.25">
      <c r="C13">
        <f t="shared" ca="1" si="13"/>
        <v>2017</v>
      </c>
      <c r="D13">
        <f t="shared" ca="1" si="7"/>
        <v>32</v>
      </c>
      <c r="E13" s="34">
        <f ca="1">IF(ISNUMBER(D13), E12*(1+Inflation+Productivity), "")</f>
        <v>99437.977600000013</v>
      </c>
      <c r="F13" s="34">
        <f t="shared" ca="1" si="8"/>
        <v>21876.355072000002</v>
      </c>
      <c r="G13" s="109">
        <f t="shared" ca="1" si="9"/>
        <v>0.9238454260265142</v>
      </c>
      <c r="H13" s="34"/>
      <c r="I13" s="34">
        <v>7082.4997500808322</v>
      </c>
      <c r="J13" s="34">
        <v>16988.873853137608</v>
      </c>
      <c r="K13" s="34">
        <f ca="1">IF(ISNUMBER(D13), MIN(0.0188*E13, 0.0188*47400*(1+Inflation)^(D13-Current_Age)), "")</f>
        <v>964.5769464192</v>
      </c>
      <c r="L13" s="34">
        <f t="shared" ca="1" si="3"/>
        <v>2737.9580271120003</v>
      </c>
      <c r="M13" s="34">
        <v>6050.9792627864354</v>
      </c>
      <c r="N13" s="34">
        <f t="shared" ca="1" si="10"/>
        <v>21722.929313963206</v>
      </c>
      <c r="O13" s="34"/>
      <c r="P13" s="94">
        <f t="shared" ca="1" si="14"/>
        <v>5500</v>
      </c>
      <c r="Q13" s="94">
        <f t="shared" ca="1" si="15"/>
        <v>45413.336559999996</v>
      </c>
      <c r="R13" s="94">
        <f t="shared" ca="1" si="11"/>
        <v>2724.8001935999996</v>
      </c>
      <c r="S13" s="94">
        <f t="shared" ca="1" si="16"/>
        <v>3977.5191039999991</v>
      </c>
      <c r="T13" s="94">
        <f t="shared" ca="1" si="17"/>
        <v>52115.655857599995</v>
      </c>
      <c r="U13" s="34"/>
      <c r="V13" s="94">
        <f t="shared" ca="1" si="18"/>
        <v>17898.835968000003</v>
      </c>
      <c r="W13" s="34">
        <f t="shared" ca="1" si="19"/>
        <v>222350.31120000003</v>
      </c>
      <c r="X13" s="34">
        <f t="shared" ca="1" si="12"/>
        <v>13341.018672</v>
      </c>
      <c r="Y13" s="34">
        <f t="shared" ca="1" si="20"/>
        <v>17898.835968000003</v>
      </c>
      <c r="Z13" s="34">
        <f t="shared" ca="1" si="21"/>
        <v>253590.16584000003</v>
      </c>
      <c r="AA13" s="34"/>
      <c r="AB13" s="34">
        <f t="shared" ca="1" si="22"/>
        <v>126247.69600000001</v>
      </c>
      <c r="AC13" s="34">
        <f ca="1">IF(ISNUMBER(D13), AB13*(Return), "")</f>
        <v>7574.8617600000007</v>
      </c>
      <c r="AD13" s="34">
        <f t="shared" ca="1" si="23"/>
        <v>0</v>
      </c>
      <c r="AE13" s="34">
        <f t="shared" ca="1" si="24"/>
        <v>133822.55776000003</v>
      </c>
    </row>
    <row r="14" spans="1:31" x14ac:dyDescent="0.25">
      <c r="C14">
        <f t="shared" ca="1" si="13"/>
        <v>2018</v>
      </c>
      <c r="D14">
        <f t="shared" ca="1" si="7"/>
        <v>33</v>
      </c>
      <c r="E14" s="34">
        <f ca="1">IF(ISNUMBER(D14), E13*(1+Inflation+Productivity), "")</f>
        <v>103415.49670400002</v>
      </c>
      <c r="F14" s="34">
        <f t="shared" ca="1" si="8"/>
        <v>22751.409274880003</v>
      </c>
      <c r="G14" s="109">
        <f t="shared" ca="1" si="9"/>
        <v>0.90573080982991594</v>
      </c>
      <c r="H14" s="34"/>
      <c r="I14" s="34">
        <v>7446.0953110856499</v>
      </c>
      <c r="J14" s="34">
        <v>17845.728813720361</v>
      </c>
      <c r="K14" s="34">
        <f ca="1">IF(ISNUMBER(D14), MIN(0.0188*E14, 0.0188*47400*(1+Inflation)^(D14-Current_Age)), "")</f>
        <v>983.86848534758406</v>
      </c>
      <c r="L14" s="34">
        <f t="shared" ca="1" si="3"/>
        <v>2792.7171876542402</v>
      </c>
      <c r="M14" s="34">
        <v>6403.0330451980044</v>
      </c>
      <c r="N14" s="34">
        <f t="shared" ca="1" si="10"/>
        <v>22665.376752609831</v>
      </c>
      <c r="O14" s="34"/>
      <c r="P14" s="94">
        <f t="shared" ca="1" si="14"/>
        <v>6000</v>
      </c>
      <c r="Q14" s="94">
        <f t="shared" ca="1" si="15"/>
        <v>52115.655857599995</v>
      </c>
      <c r="R14" s="94">
        <f t="shared" ca="1" si="11"/>
        <v>3126.9393514559997</v>
      </c>
      <c r="S14" s="94">
        <f t="shared" ca="1" si="16"/>
        <v>4136.6198681599999</v>
      </c>
      <c r="T14" s="94">
        <f t="shared" ca="1" si="17"/>
        <v>59379.215077215995</v>
      </c>
      <c r="U14" s="34"/>
      <c r="V14" s="94">
        <f t="shared" ca="1" si="18"/>
        <v>18614.789406720003</v>
      </c>
      <c r="W14" s="34">
        <f t="shared" ca="1" si="19"/>
        <v>253590.16584000003</v>
      </c>
      <c r="X14" s="34">
        <f t="shared" ca="1" si="12"/>
        <v>15215.409950400001</v>
      </c>
      <c r="Y14" s="34">
        <f t="shared" ca="1" si="20"/>
        <v>18614.789406720003</v>
      </c>
      <c r="Z14" s="34">
        <f t="shared" ca="1" si="21"/>
        <v>287420.36519712006</v>
      </c>
      <c r="AA14" s="34"/>
      <c r="AB14" s="34">
        <f t="shared" ca="1" si="22"/>
        <v>133822.55776000003</v>
      </c>
      <c r="AC14" s="34">
        <f ca="1">IF(ISNUMBER(D14), AB14*(Return), "")</f>
        <v>8029.3534656000011</v>
      </c>
      <c r="AD14" s="34">
        <f t="shared" ca="1" si="23"/>
        <v>0</v>
      </c>
      <c r="AE14" s="34">
        <f t="shared" ca="1" si="24"/>
        <v>141851.91122560002</v>
      </c>
    </row>
    <row r="15" spans="1:31" x14ac:dyDescent="0.25">
      <c r="C15">
        <f t="shared" ca="1" si="13"/>
        <v>2019</v>
      </c>
      <c r="D15">
        <f t="shared" ca="1" si="7"/>
        <v>34</v>
      </c>
      <c r="E15" s="34">
        <f ca="1">IF(ISNUMBER(D15), E14*(1+Inflation+Productivity), "")</f>
        <v>107552.11657216003</v>
      </c>
      <c r="F15" s="34">
        <f t="shared" ca="1" si="8"/>
        <v>23661.465645875207</v>
      </c>
      <c r="G15" s="109">
        <f t="shared" ca="1" si="9"/>
        <v>0.88797138218619198</v>
      </c>
      <c r="H15" s="34"/>
      <c r="I15" s="34">
        <v>7825.8406059506915</v>
      </c>
      <c r="J15" s="34">
        <v>18740.403972855565</v>
      </c>
      <c r="K15" s="34">
        <f ca="1">IF(ISNUMBER(D15), MIN(0.0188*E15, 0.0188*47400*(1+Inflation)^(D15-Current_Age)), "")</f>
        <v>1003.5458550545358</v>
      </c>
      <c r="L15" s="34">
        <f t="shared" ca="1" si="3"/>
        <v>2848.5715314073254</v>
      </c>
      <c r="M15" s="34">
        <v>6771.3692711440362</v>
      </c>
      <c r="N15" s="34">
        <f t="shared" ca="1" si="10"/>
        <v>23646.992694124085</v>
      </c>
      <c r="O15" s="34"/>
      <c r="P15" s="94">
        <f t="shared" ca="1" si="14"/>
        <v>6000</v>
      </c>
      <c r="Q15" s="94">
        <f t="shared" ca="1" si="15"/>
        <v>59379.215077215995</v>
      </c>
      <c r="R15" s="94">
        <f t="shared" ca="1" si="11"/>
        <v>3562.7529046329596</v>
      </c>
      <c r="S15" s="94">
        <f t="shared" ca="1" si="16"/>
        <v>4302.0846628864019</v>
      </c>
      <c r="T15" s="94">
        <f t="shared" ca="1" si="17"/>
        <v>67244.052644735348</v>
      </c>
      <c r="U15" s="34"/>
      <c r="V15" s="94">
        <f t="shared" ca="1" si="18"/>
        <v>19359.380982988805</v>
      </c>
      <c r="W15" s="34">
        <f t="shared" ca="1" si="19"/>
        <v>287420.36519712006</v>
      </c>
      <c r="X15" s="34">
        <f t="shared" ca="1" si="12"/>
        <v>17245.221911827204</v>
      </c>
      <c r="Y15" s="34">
        <f t="shared" ca="1" si="20"/>
        <v>19359.380982988805</v>
      </c>
      <c r="Z15" s="34">
        <f t="shared" ca="1" si="21"/>
        <v>324024.96809193608</v>
      </c>
      <c r="AA15" s="34"/>
      <c r="AB15" s="34">
        <f t="shared" ca="1" si="22"/>
        <v>141851.91122560002</v>
      </c>
      <c r="AC15" s="34">
        <f ca="1">IF(ISNUMBER(D15), AB15*(Return), "")</f>
        <v>8511.1146735360016</v>
      </c>
      <c r="AD15" s="34">
        <f t="shared" ca="1" si="23"/>
        <v>0</v>
      </c>
      <c r="AE15" s="34">
        <f t="shared" ca="1" si="24"/>
        <v>150363.02589913603</v>
      </c>
    </row>
    <row r="16" spans="1:31" x14ac:dyDescent="0.25">
      <c r="C16">
        <f t="shared" ca="1" si="13"/>
        <v>2020</v>
      </c>
      <c r="D16">
        <f t="shared" ca="1" si="7"/>
        <v>35</v>
      </c>
      <c r="E16" s="34">
        <f ca="1">IF(ISNUMBER(D16), E15*(1+Inflation+Productivity), "")</f>
        <v>111854.20123504644</v>
      </c>
      <c r="F16" s="34">
        <f t="shared" ca="1" si="8"/>
        <v>24607.924271710217</v>
      </c>
      <c r="G16" s="109">
        <f t="shared" ca="1" si="9"/>
        <v>0.87056017861391388</v>
      </c>
      <c r="H16" s="34"/>
      <c r="I16" s="34">
        <v>8222.4137422587683</v>
      </c>
      <c r="J16" s="34">
        <v>19674.483058487913</v>
      </c>
      <c r="K16" s="34">
        <f ca="1">IF(ISNUMBER(D16), MIN(0.0188*E16, 0.0188*47400*(1+Inflation)^(D16-Current_Age)), "")</f>
        <v>1023.6167721556262</v>
      </c>
      <c r="L16" s="34">
        <f t="shared" ca="1" si="3"/>
        <v>2905.5429620354712</v>
      </c>
      <c r="M16" s="34">
        <v>7147.443955814977</v>
      </c>
      <c r="N16" s="34">
        <f t="shared" ca="1" si="10"/>
        <v>24678.612579122804</v>
      </c>
      <c r="O16" s="34"/>
      <c r="P16" s="94">
        <f t="shared" ca="1" si="14"/>
        <v>6000</v>
      </c>
      <c r="Q16" s="94">
        <f t="shared" ca="1" si="15"/>
        <v>67244.052644735348</v>
      </c>
      <c r="R16" s="94">
        <f t="shared" ca="1" si="11"/>
        <v>4034.6431586841209</v>
      </c>
      <c r="S16" s="94">
        <f t="shared" ca="1" si="16"/>
        <v>4474.1680494018583</v>
      </c>
      <c r="T16" s="94">
        <f t="shared" ca="1" si="17"/>
        <v>75752.86385282132</v>
      </c>
      <c r="U16" s="34"/>
      <c r="V16" s="94">
        <f t="shared" ca="1" si="18"/>
        <v>20133.756222308359</v>
      </c>
      <c r="W16" s="34">
        <f t="shared" ca="1" si="19"/>
        <v>324024.96809193608</v>
      </c>
      <c r="X16" s="34">
        <f t="shared" ca="1" si="12"/>
        <v>19441.498085516163</v>
      </c>
      <c r="Y16" s="34">
        <f t="shared" ca="1" si="20"/>
        <v>20133.756222308359</v>
      </c>
      <c r="Z16" s="34">
        <f t="shared" ca="1" si="21"/>
        <v>363600.22239976062</v>
      </c>
      <c r="AA16" s="34"/>
      <c r="AB16" s="34">
        <f t="shared" ca="1" si="22"/>
        <v>150363.02589913603</v>
      </c>
      <c r="AC16" s="34">
        <f ca="1">IF(ISNUMBER(D16), AB16*(Return), "")</f>
        <v>9021.7815539481617</v>
      </c>
      <c r="AD16" s="34">
        <f t="shared" ca="1" si="23"/>
        <v>0</v>
      </c>
      <c r="AE16" s="34">
        <f t="shared" ca="1" si="24"/>
        <v>159384.80745308418</v>
      </c>
    </row>
    <row r="17" spans="3:31" x14ac:dyDescent="0.25">
      <c r="C17">
        <f t="shared" ca="1" si="13"/>
        <v>2021</v>
      </c>
      <c r="D17">
        <f t="shared" ca="1" si="7"/>
        <v>36</v>
      </c>
      <c r="E17" s="34">
        <f ca="1">IF(ISNUMBER(D17), E16*(1+Inflation+Productivity), "")</f>
        <v>116328.3692844483</v>
      </c>
      <c r="F17" s="34">
        <f t="shared" ca="1" si="8"/>
        <v>25592.241242578628</v>
      </c>
      <c r="G17" s="109">
        <f t="shared" ca="1" si="9"/>
        <v>0.85349037119011162</v>
      </c>
      <c r="H17" s="34"/>
      <c r="I17" s="34">
        <v>8636.520594260568</v>
      </c>
      <c r="J17" s="34">
        <v>20649.614566079912</v>
      </c>
      <c r="K17" s="34">
        <f ca="1">IF(ISNUMBER(D17), MIN(0.0188*E17, 0.0188*47400*(1+Inflation)^(D17-Current_Age)), "")</f>
        <v>1044.0891075987388</v>
      </c>
      <c r="L17" s="34">
        <f t="shared" ca="1" si="3"/>
        <v>2963.6538212761807</v>
      </c>
      <c r="M17" s="34">
        <v>7513.4032671856676</v>
      </c>
      <c r="N17" s="34">
        <f t="shared" ca="1" si="10"/>
        <v>25780.474822029733</v>
      </c>
      <c r="O17" s="34"/>
      <c r="P17" s="94">
        <f t="shared" ca="1" si="14"/>
        <v>6000</v>
      </c>
      <c r="Q17" s="94">
        <f t="shared" ca="1" si="15"/>
        <v>75752.86385282132</v>
      </c>
      <c r="R17" s="94">
        <f t="shared" ca="1" si="11"/>
        <v>4545.1718311692794</v>
      </c>
      <c r="S17" s="94">
        <f t="shared" ca="1" si="16"/>
        <v>4653.134771377936</v>
      </c>
      <c r="T17" s="94">
        <f t="shared" ca="1" si="17"/>
        <v>84951.170455368541</v>
      </c>
      <c r="U17" s="34"/>
      <c r="V17" s="94">
        <f t="shared" ca="1" si="18"/>
        <v>20939.106471200692</v>
      </c>
      <c r="W17" s="34">
        <f t="shared" ca="1" si="19"/>
        <v>363600.22239976062</v>
      </c>
      <c r="X17" s="34">
        <f t="shared" ca="1" si="12"/>
        <v>21816.013343985636</v>
      </c>
      <c r="Y17" s="34">
        <f t="shared" ca="1" si="20"/>
        <v>20939.106471200692</v>
      </c>
      <c r="Z17" s="34">
        <f t="shared" ca="1" si="21"/>
        <v>406355.34221494698</v>
      </c>
      <c r="AA17" s="34"/>
      <c r="AB17" s="34">
        <f t="shared" ca="1" si="22"/>
        <v>159384.80745308418</v>
      </c>
      <c r="AC17" s="34">
        <f ca="1">IF(ISNUMBER(D17), AB17*(Return), "")</f>
        <v>9563.0884471850513</v>
      </c>
      <c r="AD17" s="34">
        <f t="shared" ca="1" si="23"/>
        <v>0</v>
      </c>
      <c r="AE17" s="34">
        <f t="shared" ca="1" si="24"/>
        <v>168947.89590026924</v>
      </c>
    </row>
    <row r="18" spans="3:31" x14ac:dyDescent="0.25">
      <c r="C18">
        <f t="shared" ca="1" si="13"/>
        <v>2022</v>
      </c>
      <c r="D18">
        <f t="shared" ca="1" si="7"/>
        <v>37</v>
      </c>
      <c r="E18" s="34">
        <f ca="1">IF(ISNUMBER(D18), E17*(1+Inflation+Productivity), "")</f>
        <v>120981.50405582624</v>
      </c>
      <c r="F18" s="34">
        <f t="shared" ca="1" si="8"/>
        <v>26615.930892281773</v>
      </c>
      <c r="G18" s="109">
        <f t="shared" ca="1" si="9"/>
        <v>0.83675526587265847</v>
      </c>
      <c r="H18" s="34"/>
      <c r="I18" s="34">
        <v>9068.89592638867</v>
      </c>
      <c r="J18" s="34">
        <v>21667.514377680644</v>
      </c>
      <c r="K18" s="34">
        <f ca="1">IF(ISNUMBER(D18), MIN(0.0188*E18, 0.0188*47400*(1+Inflation)^(D18-Current_Age)), "")</f>
        <v>1064.9708897507137</v>
      </c>
      <c r="L18" s="34">
        <f t="shared" ca="1" si="3"/>
        <v>3022.9268977017045</v>
      </c>
      <c r="M18" s="34">
        <v>7895.6021820739406</v>
      </c>
      <c r="N18" s="34">
        <f t="shared" ca="1" si="10"/>
        <v>26928.705909447795</v>
      </c>
      <c r="O18" s="34"/>
      <c r="P18" s="94">
        <f t="shared" ca="1" si="14"/>
        <v>6500</v>
      </c>
      <c r="Q18" s="94">
        <f t="shared" ca="1" si="15"/>
        <v>84951.170455368541</v>
      </c>
      <c r="R18" s="94">
        <f t="shared" ca="1" si="11"/>
        <v>5097.0702273221123</v>
      </c>
      <c r="S18" s="94">
        <f t="shared" ca="1" si="16"/>
        <v>4839.2601622330512</v>
      </c>
      <c r="T18" s="94">
        <f t="shared" ca="1" si="17"/>
        <v>94887.500844923707</v>
      </c>
      <c r="U18" s="34"/>
      <c r="V18" s="94">
        <f t="shared" ca="1" si="18"/>
        <v>21776.670730048721</v>
      </c>
      <c r="W18" s="34">
        <f t="shared" ca="1" si="19"/>
        <v>406355.34221494698</v>
      </c>
      <c r="X18" s="34">
        <f t="shared" ca="1" si="12"/>
        <v>24381.320532896818</v>
      </c>
      <c r="Y18" s="34">
        <f t="shared" ca="1" si="20"/>
        <v>21776.670730048721</v>
      </c>
      <c r="Z18" s="34">
        <f t="shared" ca="1" si="21"/>
        <v>452513.33347789251</v>
      </c>
      <c r="AA18" s="34"/>
      <c r="AB18" s="34">
        <f t="shared" ca="1" si="22"/>
        <v>168947.89590026924</v>
      </c>
      <c r="AC18" s="34">
        <f ca="1">IF(ISNUMBER(D18), AB18*(Return), "")</f>
        <v>10136.873754016155</v>
      </c>
      <c r="AD18" s="34">
        <f t="shared" ca="1" si="23"/>
        <v>0</v>
      </c>
      <c r="AE18" s="34">
        <f t="shared" ca="1" si="24"/>
        <v>179084.7696542854</v>
      </c>
    </row>
    <row r="19" spans="3:31" x14ac:dyDescent="0.25">
      <c r="C19">
        <f t="shared" ca="1" si="13"/>
        <v>2023</v>
      </c>
      <c r="D19">
        <f t="shared" ca="1" si="7"/>
        <v>38</v>
      </c>
      <c r="E19" s="34">
        <f ca="1">IF(ISNUMBER(D19), E18*(1+Inflation+Productivity), "")</f>
        <v>125820.7642180593</v>
      </c>
      <c r="F19" s="34">
        <f t="shared" ca="1" si="8"/>
        <v>27680.568127973045</v>
      </c>
      <c r="G19" s="109">
        <f t="shared" ca="1" si="9"/>
        <v>0.82034829987515534</v>
      </c>
      <c r="H19" s="34"/>
      <c r="I19" s="34">
        <v>9520.3045619690492</v>
      </c>
      <c r="J19" s="34">
        <v>22729.96848632456</v>
      </c>
      <c r="K19" s="34">
        <f ca="1">IF(ISNUMBER(D19), MIN(0.0188*E19, 0.0188*47400*(1+Inflation)^(D19-Current_Age)), "")</f>
        <v>1086.270307545728</v>
      </c>
      <c r="L19" s="34">
        <f t="shared" ca="1" si="3"/>
        <v>3083.3854356557385</v>
      </c>
      <c r="M19" s="34">
        <v>8294.7223092417698</v>
      </c>
      <c r="N19" s="34">
        <f t="shared" ca="1" si="10"/>
        <v>28125.206482253299</v>
      </c>
      <c r="O19" s="34"/>
      <c r="P19" s="94">
        <f t="shared" ca="1" si="14"/>
        <v>6500</v>
      </c>
      <c r="Q19" s="94">
        <f t="shared" ca="1" si="15"/>
        <v>94887.500844923707</v>
      </c>
      <c r="R19" s="94">
        <f t="shared" ca="1" si="11"/>
        <v>5693.250050695422</v>
      </c>
      <c r="S19" s="94">
        <f t="shared" ca="1" si="16"/>
        <v>5032.8305687223728</v>
      </c>
      <c r="T19" s="94">
        <f t="shared" ca="1" si="17"/>
        <v>105613.58146434151</v>
      </c>
      <c r="U19" s="34"/>
      <c r="V19" s="94">
        <f t="shared" ca="1" si="18"/>
        <v>22647.737559250672</v>
      </c>
      <c r="W19" s="34">
        <f t="shared" ca="1" si="19"/>
        <v>452513.33347789251</v>
      </c>
      <c r="X19" s="34">
        <f t="shared" ca="1" si="12"/>
        <v>27150.800008673548</v>
      </c>
      <c r="Y19" s="34">
        <f t="shared" ca="1" si="20"/>
        <v>22647.737559250672</v>
      </c>
      <c r="Z19" s="34">
        <f t="shared" ca="1" si="21"/>
        <v>502311.87104581675</v>
      </c>
      <c r="AA19" s="34"/>
      <c r="AB19" s="34">
        <f t="shared" ca="1" si="22"/>
        <v>179084.7696542854</v>
      </c>
      <c r="AC19" s="34">
        <f ca="1">IF(ISNUMBER(D19), AB19*(Return), "")</f>
        <v>10745.086179257123</v>
      </c>
      <c r="AD19" s="34">
        <f t="shared" ca="1" si="23"/>
        <v>0</v>
      </c>
      <c r="AE19" s="34">
        <f t="shared" ca="1" si="24"/>
        <v>189829.85583354253</v>
      </c>
    </row>
    <row r="20" spans="3:31" x14ac:dyDescent="0.25">
      <c r="C20">
        <f t="shared" ca="1" si="13"/>
        <v>2024</v>
      </c>
      <c r="D20">
        <f t="shared" ca="1" si="7"/>
        <v>39</v>
      </c>
      <c r="E20" s="34">
        <f ca="1">IF(ISNUMBER(D20), E19*(1+Inflation+Productivity), "")</f>
        <v>130853.59478678167</v>
      </c>
      <c r="F20" s="34">
        <f t="shared" ca="1" si="8"/>
        <v>28787.790853091967</v>
      </c>
      <c r="G20" s="109">
        <f t="shared" ca="1" si="9"/>
        <v>0.80426303909328967</v>
      </c>
      <c r="H20" s="34"/>
      <c r="I20" s="34">
        <v>9991.5425989431369</v>
      </c>
      <c r="J20" s="34">
        <v>23838.835829984957</v>
      </c>
      <c r="K20" s="34">
        <f ca="1">IF(ISNUMBER(D20), MIN(0.0188*E20, 0.0188*47400*(1+Inflation)^(D20-Current_Age)), "")</f>
        <v>1107.9957136966423</v>
      </c>
      <c r="L20" s="34">
        <f t="shared" ca="1" si="3"/>
        <v>3145.0531443688528</v>
      </c>
      <c r="M20" s="34">
        <v>8711.4731622939962</v>
      </c>
      <c r="N20" s="34">
        <f t="shared" ca="1" si="10"/>
        <v>29371.954124699594</v>
      </c>
      <c r="O20" s="34"/>
      <c r="P20" s="94">
        <f t="shared" ca="1" si="14"/>
        <v>6500</v>
      </c>
      <c r="Q20" s="94">
        <f t="shared" ca="1" si="15"/>
        <v>105613.58146434151</v>
      </c>
      <c r="R20" s="94">
        <f t="shared" ca="1" si="11"/>
        <v>6336.8148878604898</v>
      </c>
      <c r="S20" s="94">
        <f t="shared" ca="1" si="16"/>
        <v>5234.143791471266</v>
      </c>
      <c r="T20" s="94">
        <f t="shared" ca="1" si="17"/>
        <v>117184.54014367325</v>
      </c>
      <c r="U20" s="34"/>
      <c r="V20" s="94">
        <f t="shared" ca="1" si="18"/>
        <v>23553.647061620701</v>
      </c>
      <c r="W20" s="34">
        <f t="shared" ca="1" si="19"/>
        <v>502311.87104581675</v>
      </c>
      <c r="X20" s="34">
        <f t="shared" ca="1" si="12"/>
        <v>30138.712262749003</v>
      </c>
      <c r="Y20" s="34">
        <f t="shared" ca="1" si="20"/>
        <v>23553.647061620701</v>
      </c>
      <c r="Z20" s="34">
        <f t="shared" ca="1" si="21"/>
        <v>556004.2303701865</v>
      </c>
      <c r="AA20" s="34"/>
      <c r="AB20" s="34">
        <f t="shared" ca="1" si="22"/>
        <v>189829.85583354253</v>
      </c>
      <c r="AC20" s="34">
        <f ca="1">IF(ISNUMBER(D20), AB20*(Return), "")</f>
        <v>11389.791350012552</v>
      </c>
      <c r="AD20" s="34">
        <f t="shared" ca="1" si="23"/>
        <v>0</v>
      </c>
      <c r="AE20" s="34">
        <f t="shared" ca="1" si="24"/>
        <v>201219.64718355509</v>
      </c>
    </row>
    <row r="21" spans="3:31" x14ac:dyDescent="0.25">
      <c r="C21">
        <f t="shared" ca="1" si="13"/>
        <v>2025</v>
      </c>
      <c r="D21">
        <f t="shared" ca="1" si="7"/>
        <v>40</v>
      </c>
      <c r="E21" s="34">
        <f ca="1">IF(ISNUMBER(D21), E20*(1+Inflation+Productivity), "")</f>
        <v>136087.73857825293</v>
      </c>
      <c r="F21" s="34">
        <f t="shared" ca="1" si="8"/>
        <v>29939.302487215646</v>
      </c>
      <c r="G21" s="109">
        <f t="shared" ca="1" si="9"/>
        <v>0.78849317558165644</v>
      </c>
      <c r="H21" s="34"/>
      <c r="I21" s="34">
        <v>10483.438674486097</v>
      </c>
      <c r="J21" s="34">
        <v>24996.051239475917</v>
      </c>
      <c r="K21" s="34">
        <f ca="1">IF(ISNUMBER(D21), MIN(0.0188*E21, 0.0188*47400*(1+Inflation)^(D21-Current_Age)), "")</f>
        <v>1130.1556279705753</v>
      </c>
      <c r="L21" s="34">
        <f t="shared" ca="1" si="3"/>
        <v>3207.9542072562303</v>
      </c>
      <c r="M21" s="34">
        <v>9102.6366580221838</v>
      </c>
      <c r="N21" s="34">
        <f t="shared" ca="1" si="10"/>
        <v>30714.963091166635</v>
      </c>
      <c r="O21" s="34"/>
      <c r="P21" s="94">
        <f t="shared" ca="1" si="14"/>
        <v>6500</v>
      </c>
      <c r="Q21" s="94">
        <f t="shared" ca="1" si="15"/>
        <v>117184.54014367325</v>
      </c>
      <c r="R21" s="94">
        <f t="shared" ca="1" si="11"/>
        <v>7031.0724086203945</v>
      </c>
      <c r="S21" s="94">
        <f t="shared" ca="1" si="16"/>
        <v>5443.5095431301197</v>
      </c>
      <c r="T21" s="94">
        <f t="shared" ca="1" si="17"/>
        <v>129659.12209542377</v>
      </c>
      <c r="U21" s="34"/>
      <c r="V21" s="94">
        <f t="shared" ca="1" si="18"/>
        <v>24495.792944085526</v>
      </c>
      <c r="W21" s="34">
        <f t="shared" ca="1" si="19"/>
        <v>556004.2303701865</v>
      </c>
      <c r="X21" s="34">
        <f t="shared" ca="1" si="12"/>
        <v>33360.253822211191</v>
      </c>
      <c r="Y21" s="34">
        <f t="shared" ca="1" si="20"/>
        <v>24495.792944085526</v>
      </c>
      <c r="Z21" s="34">
        <f t="shared" ca="1" si="21"/>
        <v>613860.27713648323</v>
      </c>
      <c r="AA21" s="34"/>
      <c r="AB21" s="34">
        <f t="shared" ca="1" si="22"/>
        <v>201219.64718355509</v>
      </c>
      <c r="AC21" s="34">
        <f ca="1">IF(ISNUMBER(D21), AB21*(Return), "")</f>
        <v>12073.178831013305</v>
      </c>
      <c r="AD21" s="34">
        <f t="shared" ca="1" si="23"/>
        <v>0</v>
      </c>
      <c r="AE21" s="34">
        <f t="shared" ca="1" si="24"/>
        <v>213292.82601456839</v>
      </c>
    </row>
    <row r="22" spans="3:31" x14ac:dyDescent="0.25">
      <c r="C22">
        <f t="shared" ca="1" si="13"/>
        <v>2026</v>
      </c>
      <c r="D22">
        <f t="shared" ca="1" si="7"/>
        <v>41</v>
      </c>
      <c r="E22" s="34">
        <f ca="1">IF(ISNUMBER(D22), E21*(1+Inflation+Productivity), "")</f>
        <v>141531.24812138305</v>
      </c>
      <c r="F22" s="34">
        <f t="shared" ca="1" si="8"/>
        <v>31136.874586704271</v>
      </c>
      <c r="G22" s="109">
        <f t="shared" ca="1" si="9"/>
        <v>0.77303252508005538</v>
      </c>
      <c r="H22" s="34"/>
      <c r="I22" s="34">
        <v>10996.855280482479</v>
      </c>
      <c r="J22" s="34">
        <v>26203.628504872348</v>
      </c>
      <c r="K22" s="34">
        <f ca="1">IF(ISNUMBER(D22), MIN(0.0188*E22, 0.0188*47400*(1+Inflation)^(D22-Current_Age)), "")</f>
        <v>1152.7587405299869</v>
      </c>
      <c r="L22" s="34">
        <f t="shared" ca="1" si="3"/>
        <v>3272.1132914013547</v>
      </c>
      <c r="M22" s="34">
        <v>9466.7421243430617</v>
      </c>
      <c r="N22" s="34">
        <f t="shared" ca="1" si="10"/>
        <v>32158.613692943105</v>
      </c>
      <c r="O22" s="34"/>
      <c r="P22" s="94">
        <f t="shared" ca="1" si="14"/>
        <v>7000</v>
      </c>
      <c r="Q22" s="94">
        <f t="shared" ca="1" si="15"/>
        <v>129659.12209542377</v>
      </c>
      <c r="R22" s="94">
        <f t="shared" ca="1" si="11"/>
        <v>7779.5473257254253</v>
      </c>
      <c r="S22" s="94">
        <f t="shared" ca="1" si="16"/>
        <v>5661.2499248553249</v>
      </c>
      <c r="T22" s="94">
        <f t="shared" ca="1" si="17"/>
        <v>143099.91934600452</v>
      </c>
      <c r="U22" s="34"/>
      <c r="V22" s="94">
        <f t="shared" ca="1" si="18"/>
        <v>25475.624661848946</v>
      </c>
      <c r="W22" s="34">
        <f t="shared" ca="1" si="19"/>
        <v>613860.27713648323</v>
      </c>
      <c r="X22" s="34">
        <f t="shared" ca="1" si="12"/>
        <v>36831.616628188989</v>
      </c>
      <c r="Y22" s="34">
        <f t="shared" ca="1" si="20"/>
        <v>25475.624661848946</v>
      </c>
      <c r="Z22" s="34">
        <f t="shared" ca="1" si="21"/>
        <v>676167.51842652122</v>
      </c>
      <c r="AA22" s="34"/>
      <c r="AB22" s="34">
        <f t="shared" ca="1" si="22"/>
        <v>213292.82601456839</v>
      </c>
      <c r="AC22" s="34">
        <f ca="1">IF(ISNUMBER(D22), AB22*(Return), "")</f>
        <v>12797.569560874103</v>
      </c>
      <c r="AD22" s="34">
        <f t="shared" ca="1" si="23"/>
        <v>0</v>
      </c>
      <c r="AE22" s="34">
        <f t="shared" ca="1" si="24"/>
        <v>226090.3955754425</v>
      </c>
    </row>
    <row r="23" spans="3:31" x14ac:dyDescent="0.25">
      <c r="C23">
        <f t="shared" ca="1" si="13"/>
        <v>2027</v>
      </c>
      <c r="D23">
        <f t="shared" ca="1" si="7"/>
        <v>42</v>
      </c>
      <c r="E23" s="34">
        <f ca="1">IF(ISNUMBER(D23), E22*(1+Inflation+Productivity), "")</f>
        <v>147192.49804623838</v>
      </c>
      <c r="F23" s="34">
        <f t="shared" ca="1" si="8"/>
        <v>32382.349570172446</v>
      </c>
      <c r="G23" s="109">
        <f t="shared" ca="1" si="9"/>
        <v>0.75787502458828948</v>
      </c>
      <c r="H23" s="34"/>
      <c r="I23" s="34">
        <v>11532.690131899057</v>
      </c>
      <c r="J23" s="34">
        <v>27463.663565200994</v>
      </c>
      <c r="K23" s="34">
        <f ca="1">IF(ISNUMBER(D23), MIN(0.0188*E23, 0.0188*47400*(1+Inflation)^(D23-Current_Age)), "")</f>
        <v>1175.8139153405866</v>
      </c>
      <c r="L23" s="34">
        <f t="shared" ca="1" si="3"/>
        <v>3337.5555572293824</v>
      </c>
      <c r="M23" s="34">
        <v>9845.4118093167945</v>
      </c>
      <c r="N23" s="34">
        <f t="shared" ca="1" si="10"/>
        <v>33664.311360353226</v>
      </c>
      <c r="O23" s="34"/>
      <c r="P23" s="94">
        <f t="shared" ca="1" si="14"/>
        <v>7000</v>
      </c>
      <c r="Q23" s="94">
        <f t="shared" ca="1" si="15"/>
        <v>143099.91934600452</v>
      </c>
      <c r="R23" s="94">
        <f t="shared" ca="1" si="11"/>
        <v>8585.9951607602707</v>
      </c>
      <c r="S23" s="94">
        <f t="shared" ca="1" si="16"/>
        <v>5887.6999218495366</v>
      </c>
      <c r="T23" s="94">
        <f t="shared" ca="1" si="17"/>
        <v>157573.61442861432</v>
      </c>
      <c r="U23" s="34"/>
      <c r="V23" s="94">
        <f t="shared" ca="1" si="18"/>
        <v>26494.649648322909</v>
      </c>
      <c r="W23" s="34">
        <f t="shared" ca="1" si="19"/>
        <v>676167.51842652122</v>
      </c>
      <c r="X23" s="34">
        <f t="shared" ca="1" si="12"/>
        <v>40570.051105591272</v>
      </c>
      <c r="Y23" s="34">
        <f t="shared" ca="1" si="20"/>
        <v>26494.649648322909</v>
      </c>
      <c r="Z23" s="34">
        <f t="shared" ca="1" si="21"/>
        <v>743232.21918043541</v>
      </c>
      <c r="AA23" s="34"/>
      <c r="AB23" s="34">
        <f t="shared" ca="1" si="22"/>
        <v>226090.3955754425</v>
      </c>
      <c r="AC23" s="34">
        <f ca="1">IF(ISNUMBER(D23), AB23*(Return), "")</f>
        <v>13565.42373452655</v>
      </c>
      <c r="AD23" s="34">
        <f t="shared" ca="1" si="23"/>
        <v>0</v>
      </c>
      <c r="AE23" s="34">
        <f t="shared" ca="1" si="24"/>
        <v>239655.81930996905</v>
      </c>
    </row>
    <row r="24" spans="3:31" x14ac:dyDescent="0.25">
      <c r="C24">
        <f t="shared" ca="1" si="13"/>
        <v>2028</v>
      </c>
      <c r="D24">
        <f t="shared" ca="1" si="7"/>
        <v>43</v>
      </c>
      <c r="E24" s="34">
        <f ca="1">IF(ISNUMBER(D24), E23*(1+Inflation+Productivity), "")</f>
        <v>153080.19796808792</v>
      </c>
      <c r="F24" s="34">
        <f t="shared" ca="1" si="8"/>
        <v>33677.643552979345</v>
      </c>
      <c r="G24" s="109">
        <f t="shared" ca="1" si="9"/>
        <v>0.74301472998851925</v>
      </c>
      <c r="H24" s="34"/>
      <c r="I24" s="34">
        <v>12091.877590176244</v>
      </c>
      <c r="J24" s="34">
        <v>28778.337826345454</v>
      </c>
      <c r="K24" s="34">
        <f ca="1">IF(ISNUMBER(D24), MIN(0.0188*E24, 0.0188*47400*(1+Inflation)^(D24-Current_Age)), "")</f>
        <v>1199.3301936473981</v>
      </c>
      <c r="L24" s="34">
        <f t="shared" ca="1" si="3"/>
        <v>3404.3066683739689</v>
      </c>
      <c r="M24" s="34">
        <v>10239.228281689462</v>
      </c>
      <c r="N24" s="34">
        <f t="shared" ca="1" si="10"/>
        <v>35234.623996853596</v>
      </c>
      <c r="O24" s="34"/>
      <c r="P24" s="94">
        <f t="shared" ca="1" si="14"/>
        <v>7000</v>
      </c>
      <c r="Q24" s="94">
        <f t="shared" ca="1" si="15"/>
        <v>157573.61442861432</v>
      </c>
      <c r="R24" s="94">
        <f t="shared" ca="1" si="11"/>
        <v>9454.4168657168593</v>
      </c>
      <c r="S24" s="94">
        <f t="shared" ca="1" si="16"/>
        <v>6123.2079187235213</v>
      </c>
      <c r="T24" s="94">
        <f t="shared" ca="1" si="17"/>
        <v>173151.23921305471</v>
      </c>
      <c r="U24" s="34"/>
      <c r="V24" s="94">
        <f t="shared" ca="1" si="18"/>
        <v>27554.435634255824</v>
      </c>
      <c r="W24" s="34">
        <f t="shared" ca="1" si="19"/>
        <v>743232.21918043541</v>
      </c>
      <c r="X24" s="34">
        <f t="shared" ca="1" si="12"/>
        <v>44593.933150826124</v>
      </c>
      <c r="Y24" s="34">
        <f t="shared" ca="1" si="20"/>
        <v>27554.435634255824</v>
      </c>
      <c r="Z24" s="34">
        <f t="shared" ca="1" si="21"/>
        <v>815380.58796551742</v>
      </c>
      <c r="AA24" s="34"/>
      <c r="AB24" s="34">
        <f t="shared" ca="1" si="22"/>
        <v>239655.81930996905</v>
      </c>
      <c r="AC24" s="34">
        <f ca="1">IF(ISNUMBER(D24), AB24*(Return), "")</f>
        <v>14379.349158598143</v>
      </c>
      <c r="AD24" s="34">
        <f t="shared" ca="1" si="23"/>
        <v>0</v>
      </c>
      <c r="AE24" s="34">
        <f t="shared" ca="1" si="24"/>
        <v>254035.16846856719</v>
      </c>
    </row>
    <row r="25" spans="3:31" x14ac:dyDescent="0.25">
      <c r="C25">
        <f t="shared" ca="1" si="13"/>
        <v>2029</v>
      </c>
      <c r="D25">
        <f t="shared" ca="1" si="7"/>
        <v>44</v>
      </c>
      <c r="E25" s="34">
        <f ca="1">IF(ISNUMBER(D25), E24*(1+Inflation+Productivity), "")</f>
        <v>159203.40588681144</v>
      </c>
      <c r="F25" s="34">
        <f t="shared" ca="1" si="8"/>
        <v>35024.749295098518</v>
      </c>
      <c r="G25" s="109">
        <f t="shared" ca="1" si="9"/>
        <v>0.72844581371423445</v>
      </c>
      <c r="H25" s="34"/>
      <c r="I25" s="34">
        <v>12675.390143844539</v>
      </c>
      <c r="J25" s="34">
        <v>30149.921612306414</v>
      </c>
      <c r="K25" s="34">
        <f ca="1">IF(ISNUMBER(D25), MIN(0.0188*E25, 0.0188*47400*(1+Inflation)^(D25-Current_Age)), "")</f>
        <v>1223.3167975203462</v>
      </c>
      <c r="L25" s="34">
        <f t="shared" ca="1" si="3"/>
        <v>3472.3928017414491</v>
      </c>
      <c r="M25" s="34">
        <v>10648.797412957045</v>
      </c>
      <c r="N25" s="34">
        <f t="shared" ca="1" si="10"/>
        <v>36872.223942455712</v>
      </c>
      <c r="O25" s="34"/>
      <c r="P25" s="94">
        <f t="shared" ca="1" si="14"/>
        <v>7500</v>
      </c>
      <c r="Q25" s="94">
        <f t="shared" ca="1" si="15"/>
        <v>173151.23921305471</v>
      </c>
      <c r="R25" s="94">
        <f t="shared" ca="1" si="11"/>
        <v>10389.074352783282</v>
      </c>
      <c r="S25" s="94">
        <f t="shared" ca="1" si="16"/>
        <v>6368.1362354724588</v>
      </c>
      <c r="T25" s="94">
        <f t="shared" ca="1" si="17"/>
        <v>189908.44980131043</v>
      </c>
      <c r="U25" s="34"/>
      <c r="V25" s="94">
        <f t="shared" ca="1" si="18"/>
        <v>28656.613059626059</v>
      </c>
      <c r="W25" s="34">
        <f t="shared" ca="1" si="19"/>
        <v>815380.58796551742</v>
      </c>
      <c r="X25" s="34">
        <f t="shared" ca="1" si="12"/>
        <v>48922.835277931044</v>
      </c>
      <c r="Y25" s="34">
        <f t="shared" ca="1" si="20"/>
        <v>28656.613059626059</v>
      </c>
      <c r="Z25" s="34">
        <f t="shared" ca="1" si="21"/>
        <v>892960.03630307456</v>
      </c>
      <c r="AA25" s="34"/>
      <c r="AB25" s="34">
        <f t="shared" ca="1" si="22"/>
        <v>254035.16846856719</v>
      </c>
      <c r="AC25" s="34">
        <f ca="1">IF(ISNUMBER(D25), AB25*(Return), "")</f>
        <v>15242.110108114031</v>
      </c>
      <c r="AD25" s="34">
        <f t="shared" ca="1" si="23"/>
        <v>0</v>
      </c>
      <c r="AE25" s="34">
        <f t="shared" ca="1" si="24"/>
        <v>269277.27857668122</v>
      </c>
    </row>
    <row r="26" spans="3:31" x14ac:dyDescent="0.25">
      <c r="C26">
        <f t="shared" ca="1" si="13"/>
        <v>2030</v>
      </c>
      <c r="D26">
        <f t="shared" ca="1" si="7"/>
        <v>45</v>
      </c>
      <c r="E26" s="34">
        <f ca="1">IF(ISNUMBER(D26), E25*(1+Inflation+Productivity), "")</f>
        <v>165571.54212228389</v>
      </c>
      <c r="F26" s="34">
        <f t="shared" ca="1" si="8"/>
        <v>36425.739266902456</v>
      </c>
      <c r="G26" s="109">
        <f t="shared" ca="1" si="9"/>
        <v>0.7141625624649357</v>
      </c>
      <c r="H26" s="34"/>
      <c r="I26" s="34">
        <v>13284.239948660792</v>
      </c>
      <c r="J26" s="34">
        <v>31580.77775516397</v>
      </c>
      <c r="K26" s="34">
        <f ca="1">IF(ISNUMBER(D26), MIN(0.0188*E26, 0.0188*47400*(1+Inflation)^(D26-Current_Age)), "")</f>
        <v>1247.7831334707532</v>
      </c>
      <c r="L26" s="34">
        <f t="shared" ca="1" si="3"/>
        <v>3541.8406577762785</v>
      </c>
      <c r="M26" s="34">
        <v>11074.749309475326</v>
      </c>
      <c r="N26" s="34">
        <f t="shared" ca="1" si="10"/>
        <v>38579.892185596473</v>
      </c>
      <c r="O26" s="34"/>
      <c r="P26" s="94">
        <f t="shared" ca="1" si="14"/>
        <v>7500</v>
      </c>
      <c r="Q26" s="94">
        <f t="shared" ca="1" si="15"/>
        <v>189908.44980131043</v>
      </c>
      <c r="R26" s="94">
        <f t="shared" ca="1" si="11"/>
        <v>11394.506988078625</v>
      </c>
      <c r="S26" s="94">
        <f t="shared" ca="1" si="16"/>
        <v>6622.8616848913553</v>
      </c>
      <c r="T26" s="94">
        <f t="shared" ca="1" si="17"/>
        <v>207925.81847428042</v>
      </c>
      <c r="U26" s="34"/>
      <c r="V26" s="94">
        <f t="shared" ca="1" si="18"/>
        <v>29802.8775820111</v>
      </c>
      <c r="W26" s="34">
        <f t="shared" ca="1" si="19"/>
        <v>892960.03630307456</v>
      </c>
      <c r="X26" s="34">
        <f t="shared" ca="1" si="12"/>
        <v>53577.602178184468</v>
      </c>
      <c r="Y26" s="34">
        <f t="shared" ca="1" si="20"/>
        <v>29802.8775820111</v>
      </c>
      <c r="Z26" s="34">
        <f t="shared" ca="1" si="21"/>
        <v>976340.51606327004</v>
      </c>
      <c r="AA26" s="34"/>
      <c r="AB26" s="34">
        <f t="shared" ca="1" si="22"/>
        <v>269277.27857668122</v>
      </c>
      <c r="AC26" s="34">
        <f ca="1">IF(ISNUMBER(D26), AB26*(Return), "")</f>
        <v>16156.636714600872</v>
      </c>
      <c r="AD26" s="34">
        <f t="shared" ca="1" si="23"/>
        <v>0</v>
      </c>
      <c r="AE26" s="34">
        <f t="shared" ca="1" si="24"/>
        <v>285433.91529128212</v>
      </c>
    </row>
    <row r="27" spans="3:31" x14ac:dyDescent="0.25">
      <c r="C27">
        <f t="shared" ca="1" si="13"/>
        <v>2031</v>
      </c>
      <c r="D27">
        <f t="shared" ca="1" si="7"/>
        <v>46</v>
      </c>
      <c r="E27" s="34">
        <f ca="1">IF(ISNUMBER(D27), E26*(1+Inflation+Productivity), "")</f>
        <v>172194.40380717526</v>
      </c>
      <c r="F27" s="34">
        <f t="shared" ca="1" si="8"/>
        <v>37882.768837578558</v>
      </c>
      <c r="G27" s="109">
        <f t="shared" ca="1" si="9"/>
        <v>0.7001593749656233</v>
      </c>
      <c r="H27" s="34"/>
      <c r="I27" s="34">
        <v>13919.480429650946</v>
      </c>
      <c r="J27" s="34">
        <v>33073.365329303131</v>
      </c>
      <c r="K27" s="34">
        <f ca="1">IF(ISNUMBER(D27), MIN(0.0188*E27, 0.0188*47400*(1+Inflation)^(D27-Current_Age)), "")</f>
        <v>1272.7387961401682</v>
      </c>
      <c r="L27" s="34">
        <f t="shared" ca="1" si="3"/>
        <v>3612.6774709318033</v>
      </c>
      <c r="M27" s="34">
        <v>11517.739281854334</v>
      </c>
      <c r="N27" s="34">
        <f t="shared" ca="1" si="10"/>
        <v>40360.522744171714</v>
      </c>
      <c r="O27" s="34"/>
      <c r="P27" s="94">
        <f t="shared" ca="1" si="14"/>
        <v>7500</v>
      </c>
      <c r="Q27" s="94">
        <f t="shared" ca="1" si="15"/>
        <v>207925.81847428042</v>
      </c>
      <c r="R27" s="94">
        <f t="shared" ca="1" si="11"/>
        <v>12475.549108456824</v>
      </c>
      <c r="S27" s="94">
        <f t="shared" ca="1" si="16"/>
        <v>6887.7761522870132</v>
      </c>
      <c r="T27" s="94">
        <f t="shared" ca="1" si="17"/>
        <v>227289.14373502426</v>
      </c>
      <c r="U27" s="34"/>
      <c r="V27" s="94">
        <f t="shared" ca="1" si="18"/>
        <v>30994.992685291545</v>
      </c>
      <c r="W27" s="34">
        <f t="shared" ca="1" si="19"/>
        <v>976340.51606327004</v>
      </c>
      <c r="X27" s="34">
        <f t="shared" ca="1" si="12"/>
        <v>58580.4309637962</v>
      </c>
      <c r="Y27" s="34">
        <f t="shared" ca="1" si="20"/>
        <v>30994.992685291545</v>
      </c>
      <c r="Z27" s="34">
        <f t="shared" ca="1" si="21"/>
        <v>1065915.9397123577</v>
      </c>
      <c r="AA27" s="34"/>
      <c r="AB27" s="34">
        <f t="shared" ca="1" si="22"/>
        <v>285433.91529128212</v>
      </c>
      <c r="AC27" s="34">
        <f ca="1">IF(ISNUMBER(D27), AB27*(Return), "")</f>
        <v>17126.034917476925</v>
      </c>
      <c r="AD27" s="34">
        <f t="shared" ca="1" si="23"/>
        <v>0</v>
      </c>
      <c r="AE27" s="34">
        <f t="shared" ca="1" si="24"/>
        <v>302559.95020875905</v>
      </c>
    </row>
    <row r="28" spans="3:31" x14ac:dyDescent="0.25">
      <c r="C28">
        <f t="shared" ca="1" si="13"/>
        <v>2032</v>
      </c>
      <c r="D28">
        <f t="shared" ca="1" si="7"/>
        <v>47</v>
      </c>
      <c r="E28" s="34">
        <f ca="1">IF(ISNUMBER(D28), E27*(1+Inflation+Productivity), "")</f>
        <v>179082.17995946229</v>
      </c>
      <c r="F28" s="34">
        <f t="shared" ca="1" si="8"/>
        <v>39398.079591081703</v>
      </c>
      <c r="G28" s="109">
        <f t="shared" ca="1" si="9"/>
        <v>0.68643075977021895</v>
      </c>
      <c r="H28" s="34"/>
      <c r="I28" s="34">
        <v>14582.207947541585</v>
      </c>
      <c r="J28" s="34">
        <v>34630.243535686503</v>
      </c>
      <c r="K28" s="34">
        <f ca="1">IF(ISNUMBER(D28), MIN(0.0188*E28, 0.0188*47400*(1+Inflation)^(D28-Current_Age)), "")</f>
        <v>1298.1935720629715</v>
      </c>
      <c r="L28" s="34">
        <f t="shared" ca="1" si="3"/>
        <v>3684.9310203504392</v>
      </c>
      <c r="M28" s="34">
        <v>11978.448853128513</v>
      </c>
      <c r="N28" s="34">
        <f t="shared" ca="1" si="10"/>
        <v>42217.12722251298</v>
      </c>
      <c r="O28" s="34"/>
      <c r="P28" s="94">
        <f t="shared" ca="1" si="14"/>
        <v>8000</v>
      </c>
      <c r="Q28" s="94">
        <f t="shared" ca="1" si="15"/>
        <v>227289.14373502426</v>
      </c>
      <c r="R28" s="94">
        <f t="shared" ca="1" si="11"/>
        <v>13637.348624101456</v>
      </c>
      <c r="S28" s="94">
        <f t="shared" ca="1" si="16"/>
        <v>7163.2871983784935</v>
      </c>
      <c r="T28" s="94">
        <f t="shared" ca="1" si="17"/>
        <v>248089.77955750423</v>
      </c>
      <c r="U28" s="34"/>
      <c r="V28" s="94">
        <f t="shared" ca="1" si="18"/>
        <v>32234.79239270321</v>
      </c>
      <c r="W28" s="34">
        <f t="shared" ca="1" si="19"/>
        <v>1065915.9397123577</v>
      </c>
      <c r="X28" s="34">
        <f t="shared" ca="1" si="12"/>
        <v>63954.95638274146</v>
      </c>
      <c r="Y28" s="34">
        <f t="shared" ca="1" si="20"/>
        <v>32234.79239270321</v>
      </c>
      <c r="Z28" s="34">
        <f t="shared" ca="1" si="21"/>
        <v>1162105.6884878024</v>
      </c>
      <c r="AA28" s="34"/>
      <c r="AB28" s="34">
        <f t="shared" ca="1" si="22"/>
        <v>302559.95020875905</v>
      </c>
      <c r="AC28" s="34">
        <f ca="1">IF(ISNUMBER(D28), AB28*(Return), "")</f>
        <v>18153.597012525541</v>
      </c>
      <c r="AD28" s="34">
        <f t="shared" ca="1" si="23"/>
        <v>0</v>
      </c>
      <c r="AE28" s="34">
        <f t="shared" ca="1" si="24"/>
        <v>320713.54722128459</v>
      </c>
    </row>
    <row r="29" spans="3:31" x14ac:dyDescent="0.25">
      <c r="C29">
        <f t="shared" ca="1" si="13"/>
        <v>2033</v>
      </c>
      <c r="D29">
        <f t="shared" ca="1" si="7"/>
        <v>48</v>
      </c>
      <c r="E29" s="34">
        <f ca="1">IF(ISNUMBER(D29), E28*(1+Inflation+Productivity), "")</f>
        <v>186245.46715784079</v>
      </c>
      <c r="F29" s="34">
        <f t="shared" ca="1" si="8"/>
        <v>40974.002774724977</v>
      </c>
      <c r="G29" s="109">
        <f t="shared" ca="1" si="9"/>
        <v>0.67297133310805779</v>
      </c>
      <c r="H29" s="34"/>
      <c r="I29" s="34">
        <v>15273.563532161937</v>
      </c>
      <c r="J29" s="34">
        <v>36254.075742189445</v>
      </c>
      <c r="K29" s="34">
        <f ca="1">IF(ISNUMBER(D29), MIN(0.0188*E29, 0.0188*47400*(1+Inflation)^(D29-Current_Age)), "")</f>
        <v>1324.157443504231</v>
      </c>
      <c r="L29" s="34">
        <f t="shared" ca="1" si="3"/>
        <v>3758.6296407574487</v>
      </c>
      <c r="M29" s="34">
        <v>12457.586807253654</v>
      </c>
      <c r="N29" s="34">
        <f t="shared" ca="1" si="10"/>
        <v>44152.839551359408</v>
      </c>
      <c r="O29" s="34"/>
      <c r="P29" s="94">
        <f t="shared" ca="1" si="14"/>
        <v>8000</v>
      </c>
      <c r="Q29" s="94">
        <f t="shared" ca="1" si="15"/>
        <v>248089.77955750423</v>
      </c>
      <c r="R29" s="94">
        <f t="shared" ca="1" si="11"/>
        <v>14885.386773450253</v>
      </c>
      <c r="S29" s="94">
        <f t="shared" ca="1" si="16"/>
        <v>7449.8186863136361</v>
      </c>
      <c r="T29" s="94">
        <f t="shared" ca="1" si="17"/>
        <v>270424.9850172681</v>
      </c>
      <c r="U29" s="34"/>
      <c r="V29" s="94">
        <f t="shared" ca="1" si="18"/>
        <v>33524.184088411341</v>
      </c>
      <c r="W29" s="34">
        <f t="shared" ca="1" si="19"/>
        <v>1162105.6884878024</v>
      </c>
      <c r="X29" s="34">
        <f t="shared" ca="1" si="12"/>
        <v>69726.341309268144</v>
      </c>
      <c r="Y29" s="34">
        <f t="shared" ca="1" si="20"/>
        <v>33524.184088411341</v>
      </c>
      <c r="Z29" s="34">
        <f t="shared" ca="1" si="21"/>
        <v>1265356.2138854819</v>
      </c>
      <c r="AA29" s="34"/>
      <c r="AB29" s="34">
        <f t="shared" ca="1" si="22"/>
        <v>320713.54722128459</v>
      </c>
      <c r="AC29" s="34">
        <f ca="1">IF(ISNUMBER(D29), AB29*(Return), "")</f>
        <v>19242.812833277076</v>
      </c>
      <c r="AD29" s="34">
        <f t="shared" ca="1" si="23"/>
        <v>0</v>
      </c>
      <c r="AE29" s="34">
        <f t="shared" ca="1" si="24"/>
        <v>339956.36005456169</v>
      </c>
    </row>
    <row r="30" spans="3:31" x14ac:dyDescent="0.25">
      <c r="C30">
        <f t="shared" ca="1" si="13"/>
        <v>2034</v>
      </c>
      <c r="D30">
        <f t="shared" ca="1" si="7"/>
        <v>49</v>
      </c>
      <c r="E30" s="34">
        <f ca="1">IF(ISNUMBER(D30), E29*(1+Inflation+Productivity), "")</f>
        <v>193695.28584415442</v>
      </c>
      <c r="F30" s="34">
        <f t="shared" ca="1" si="8"/>
        <v>42612.962885713976</v>
      </c>
      <c r="G30" s="109">
        <f t="shared" ca="1" si="9"/>
        <v>0.65977581677260566</v>
      </c>
      <c r="H30" s="34"/>
      <c r="I30" s="34">
        <v>15994.734685501478</v>
      </c>
      <c r="J30" s="34">
        <v>37947.633686254005</v>
      </c>
      <c r="K30" s="34">
        <f ca="1">IF(ISNUMBER(D30), MIN(0.0188*E30, 0.0188*47400*(1+Inflation)^(D30-Current_Age)), "")</f>
        <v>1350.6405923743155</v>
      </c>
      <c r="L30" s="34">
        <f t="shared" ca="1" si="3"/>
        <v>3833.8022335725973</v>
      </c>
      <c r="M30" s="34">
        <v>12955.890279543812</v>
      </c>
      <c r="N30" s="34">
        <f t="shared" ca="1" si="10"/>
        <v>46170.920918158583</v>
      </c>
      <c r="O30" s="34"/>
      <c r="P30" s="94">
        <f t="shared" ca="1" si="14"/>
        <v>8000</v>
      </c>
      <c r="Q30" s="94">
        <f t="shared" ca="1" si="15"/>
        <v>270424.9850172681</v>
      </c>
      <c r="R30" s="94">
        <f t="shared" ca="1" si="11"/>
        <v>16225.499101036086</v>
      </c>
      <c r="S30" s="94">
        <f t="shared" ca="1" si="16"/>
        <v>7747.8114337661827</v>
      </c>
      <c r="T30" s="94">
        <f t="shared" ca="1" si="17"/>
        <v>294398.29555207037</v>
      </c>
      <c r="U30" s="34"/>
      <c r="V30" s="94">
        <f t="shared" ca="1" si="18"/>
        <v>34865.151451947793</v>
      </c>
      <c r="W30" s="34">
        <f t="shared" ca="1" si="19"/>
        <v>1265356.2138854819</v>
      </c>
      <c r="X30" s="34">
        <f t="shared" ca="1" si="12"/>
        <v>75921.372833128917</v>
      </c>
      <c r="Y30" s="34">
        <f t="shared" ca="1" si="20"/>
        <v>34865.151451947793</v>
      </c>
      <c r="Z30" s="34">
        <f t="shared" ca="1" si="21"/>
        <v>1376142.7381705588</v>
      </c>
      <c r="AA30" s="34"/>
      <c r="AB30" s="34">
        <f t="shared" ca="1" si="22"/>
        <v>339956.36005456169</v>
      </c>
      <c r="AC30" s="34">
        <f ca="1">IF(ISNUMBER(D30), AB30*(Return), "")</f>
        <v>20397.381603273701</v>
      </c>
      <c r="AD30" s="34">
        <f t="shared" ca="1" si="23"/>
        <v>0</v>
      </c>
      <c r="AE30" s="34">
        <f t="shared" ca="1" si="24"/>
        <v>360353.74165783537</v>
      </c>
    </row>
    <row r="31" spans="3:31" x14ac:dyDescent="0.25">
      <c r="C31">
        <f t="shared" ca="1" si="13"/>
        <v>2035</v>
      </c>
      <c r="D31">
        <f t="shared" ca="1" si="7"/>
        <v>50</v>
      </c>
      <c r="E31" s="34">
        <f ca="1">IF(ISNUMBER(D31), E30*(1+Inflation+Productivity), "")</f>
        <v>201443.09727792061</v>
      </c>
      <c r="F31" s="34">
        <f t="shared" ca="1" si="8"/>
        <v>44317.481401142533</v>
      </c>
      <c r="G31" s="109">
        <f t="shared" ca="1" si="9"/>
        <v>0.64683903605157411</v>
      </c>
      <c r="H31" s="34"/>
      <c r="I31" s="34">
        <v>16746.957257215658</v>
      </c>
      <c r="J31" s="34">
        <v>39713.801846368689</v>
      </c>
      <c r="K31" s="34">
        <f ca="1">IF(ISNUMBER(D31), MIN(0.0188*E31, 0.0188*47400*(1+Inflation)^(D31-Current_Age)), "")</f>
        <v>1377.653404221802</v>
      </c>
      <c r="L31" s="34">
        <f t="shared" ca="1" si="3"/>
        <v>3910.4782782440493</v>
      </c>
      <c r="M31" s="34">
        <v>13474.125890725558</v>
      </c>
      <c r="N31" s="34">
        <f t="shared" ca="1" si="10"/>
        <v>48274.764895324653</v>
      </c>
      <c r="O31" s="34"/>
      <c r="P31" s="94">
        <f t="shared" ca="1" si="14"/>
        <v>8500</v>
      </c>
      <c r="Q31" s="94">
        <f t="shared" ca="1" si="15"/>
        <v>294398.29555207037</v>
      </c>
      <c r="R31" s="94">
        <f t="shared" ca="1" si="11"/>
        <v>17663.89773312422</v>
      </c>
      <c r="S31" s="94">
        <f t="shared" ca="1" si="16"/>
        <v>8057.7238911168242</v>
      </c>
      <c r="T31" s="94">
        <f t="shared" ca="1" si="17"/>
        <v>320119.91717631137</v>
      </c>
      <c r="U31" s="34"/>
      <c r="V31" s="94">
        <f t="shared" ca="1" si="18"/>
        <v>36259.757510025709</v>
      </c>
      <c r="W31" s="34">
        <f t="shared" ca="1" si="19"/>
        <v>1376142.7381705588</v>
      </c>
      <c r="X31" s="34">
        <f t="shared" ca="1" si="12"/>
        <v>82568.564290233524</v>
      </c>
      <c r="Y31" s="34">
        <f t="shared" ca="1" si="20"/>
        <v>36259.757510025709</v>
      </c>
      <c r="Z31" s="34">
        <f t="shared" ca="1" si="21"/>
        <v>1494971.059970818</v>
      </c>
      <c r="AA31" s="34"/>
      <c r="AB31" s="34">
        <f t="shared" ca="1" si="22"/>
        <v>360353.74165783537</v>
      </c>
      <c r="AC31" s="34">
        <f ca="1">IF(ISNUMBER(D31), AB31*(Return), "")</f>
        <v>21621.224499470121</v>
      </c>
      <c r="AD31" s="34">
        <f t="shared" ca="1" si="23"/>
        <v>0</v>
      </c>
      <c r="AE31" s="34">
        <f t="shared" ca="1" si="24"/>
        <v>381974.96615730552</v>
      </c>
    </row>
    <row r="32" spans="3:31" x14ac:dyDescent="0.25">
      <c r="C32">
        <f t="shared" ca="1" si="13"/>
        <v>2036</v>
      </c>
      <c r="D32">
        <f t="shared" ca="1" si="7"/>
        <v>51</v>
      </c>
      <c r="E32" s="34">
        <f ca="1">IF(ISNUMBER(D32), E31*(1+Inflation+Productivity), "")</f>
        <v>209500.82116903743</v>
      </c>
      <c r="F32" s="34">
        <f t="shared" ca="1" si="8"/>
        <v>46090.180657188233</v>
      </c>
      <c r="G32" s="109">
        <f t="shared" ca="1" si="9"/>
        <v>0.63415591769762181</v>
      </c>
      <c r="H32" s="34"/>
      <c r="I32" s="34">
        <v>17531.51739548429</v>
      </c>
      <c r="J32" s="34">
        <v>41555.581989141247</v>
      </c>
      <c r="K32" s="34">
        <f ca="1">IF(ISNUMBER(D32), MIN(0.0188*E32, 0.0188*47400*(1+Inflation)^(D32-Current_Age)), "")</f>
        <v>1405.2064723062376</v>
      </c>
      <c r="L32" s="34">
        <f t="shared" ca="1" si="3"/>
        <v>3988.6878438089298</v>
      </c>
      <c r="M32" s="34">
        <v>13957.942759781316</v>
      </c>
      <c r="N32" s="34">
        <f t="shared" ca="1" si="10"/>
        <v>50523.05094095938</v>
      </c>
      <c r="O32" s="34"/>
      <c r="P32" s="94">
        <f t="shared" ca="1" si="14"/>
        <v>8500</v>
      </c>
      <c r="Q32" s="94">
        <f t="shared" ca="1" si="15"/>
        <v>320119.91717631137</v>
      </c>
      <c r="R32" s="94">
        <f t="shared" ca="1" si="11"/>
        <v>19207.195030578681</v>
      </c>
      <c r="S32" s="94">
        <f t="shared" ca="1" si="16"/>
        <v>8500</v>
      </c>
      <c r="T32" s="94">
        <f t="shared" ca="1" si="17"/>
        <v>347827.11220689007</v>
      </c>
      <c r="U32" s="34"/>
      <c r="V32" s="94">
        <f t="shared" ca="1" si="18"/>
        <v>37561.740473039077</v>
      </c>
      <c r="W32" s="34">
        <f t="shared" ca="1" si="19"/>
        <v>1494971.059970818</v>
      </c>
      <c r="X32" s="34">
        <f t="shared" ca="1" si="12"/>
        <v>89698.263598249076</v>
      </c>
      <c r="Y32" s="34">
        <f t="shared" ca="1" si="20"/>
        <v>37561.740473039077</v>
      </c>
      <c r="Z32" s="34">
        <f t="shared" ca="1" si="21"/>
        <v>1622231.064042106</v>
      </c>
      <c r="AA32" s="34"/>
      <c r="AB32" s="34">
        <f t="shared" ca="1" si="22"/>
        <v>381974.96615730552</v>
      </c>
      <c r="AC32" s="34">
        <f ca="1">IF(ISNUMBER(D32), AB32*(Return), "")</f>
        <v>22918.497969438329</v>
      </c>
      <c r="AD32" s="34">
        <f t="shared" ca="1" si="23"/>
        <v>28.440184149156266</v>
      </c>
      <c r="AE32" s="34">
        <f t="shared" ca="1" si="24"/>
        <v>404921.90431089298</v>
      </c>
    </row>
    <row r="33" spans="3:31" x14ac:dyDescent="0.25">
      <c r="C33">
        <f t="shared" ca="1" si="13"/>
        <v>2037</v>
      </c>
      <c r="D33">
        <f t="shared" ca="1" si="7"/>
        <v>52</v>
      </c>
      <c r="E33" s="34">
        <f ca="1">IF(ISNUMBER(D33), E32*(1+Inflation+Productivity), "")</f>
        <v>217880.85401579895</v>
      </c>
      <c r="F33" s="34">
        <f t="shared" ca="1" si="8"/>
        <v>47933.787883475772</v>
      </c>
      <c r="G33" s="109">
        <f t="shared" ca="1" si="9"/>
        <v>0.62172148793884485</v>
      </c>
      <c r="H33" s="34"/>
      <c r="I33" s="34">
        <v>18349.753576243271</v>
      </c>
      <c r="J33" s="34">
        <v>43495.746990758234</v>
      </c>
      <c r="K33" s="34">
        <f ca="1">IF(ISNUMBER(D33), MIN(0.0188*E33, 0.0188*47400*(1+Inflation)^(D33-Current_Age)), "")</f>
        <v>1433.3106017523626</v>
      </c>
      <c r="L33" s="34">
        <f t="shared" ca="1" si="3"/>
        <v>4068.4616006851084</v>
      </c>
      <c r="M33" s="34">
        <v>14256.750706732113</v>
      </c>
      <c r="N33" s="34">
        <f t="shared" ca="1" si="10"/>
        <v>53090.522062706863</v>
      </c>
      <c r="O33" s="34"/>
      <c r="P33" s="94">
        <f t="shared" ca="1" si="14"/>
        <v>8500</v>
      </c>
      <c r="Q33" s="94">
        <f t="shared" ca="1" si="15"/>
        <v>347827.11220689007</v>
      </c>
      <c r="R33" s="94">
        <f t="shared" ca="1" si="11"/>
        <v>20869.626732413402</v>
      </c>
      <c r="S33" s="94">
        <f t="shared" ca="1" si="16"/>
        <v>8500</v>
      </c>
      <c r="T33" s="94">
        <f t="shared" ca="1" si="17"/>
        <v>377196.7389393035</v>
      </c>
      <c r="U33" s="34"/>
      <c r="V33" s="94">
        <f t="shared" ca="1" si="18"/>
        <v>38312.975282499858</v>
      </c>
      <c r="W33" s="34">
        <f t="shared" ca="1" si="19"/>
        <v>1622231.064042106</v>
      </c>
      <c r="X33" s="34">
        <f t="shared" ca="1" si="12"/>
        <v>97333.863842526363</v>
      </c>
      <c r="Y33" s="34">
        <f t="shared" ca="1" si="20"/>
        <v>38312.975282499858</v>
      </c>
      <c r="Z33" s="34">
        <f t="shared" ca="1" si="21"/>
        <v>1757877.9031671323</v>
      </c>
      <c r="AA33" s="34"/>
      <c r="AB33" s="34">
        <f t="shared" ca="1" si="22"/>
        <v>404921.90431089298</v>
      </c>
      <c r="AC33" s="34">
        <f ca="1">IF(ISNUMBER(D33), AB33*(Return), "")</f>
        <v>24295.314258653576</v>
      </c>
      <c r="AD33" s="34">
        <f t="shared" ca="1" si="23"/>
        <v>1120.8126009759144</v>
      </c>
      <c r="AE33" s="34">
        <f t="shared" ca="1" si="24"/>
        <v>430338.03117052244</v>
      </c>
    </row>
    <row r="34" spans="3:31" x14ac:dyDescent="0.25">
      <c r="C34">
        <f t="shared" ca="1" si="13"/>
        <v>2038</v>
      </c>
      <c r="D34">
        <f t="shared" ca="1" si="7"/>
        <v>53</v>
      </c>
      <c r="E34" s="34">
        <f ca="1">IF(ISNUMBER(D34), E33*(1+Inflation+Productivity), "")</f>
        <v>226596.0881764309</v>
      </c>
      <c r="F34" s="34">
        <f t="shared" ca="1" si="8"/>
        <v>49851.139398814797</v>
      </c>
      <c r="G34" s="109">
        <f t="shared" ca="1" si="9"/>
        <v>0.60953087052827937</v>
      </c>
      <c r="H34" s="34"/>
      <c r="I34" s="34">
        <v>19203.058713931398</v>
      </c>
      <c r="J34" s="34">
        <v>45629.370883865027</v>
      </c>
      <c r="K34" s="34">
        <f ca="1">IF(ISNUMBER(D34), MIN(0.0188*E34, 0.0188*47400*(1+Inflation)^(D34-Current_Age)), "")</f>
        <v>1461.9768137874098</v>
      </c>
      <c r="L34" s="34">
        <f t="shared" ca="1" si="3"/>
        <v>4149.8308326988108</v>
      </c>
      <c r="M34" s="34">
        <v>14672.614233276223</v>
      </c>
      <c r="N34" s="34">
        <f t="shared" ca="1" si="10"/>
        <v>55771.623011006406</v>
      </c>
      <c r="O34" s="34"/>
      <c r="P34" s="94">
        <f t="shared" ca="1" si="14"/>
        <v>9000</v>
      </c>
      <c r="Q34" s="94">
        <f t="shared" ca="1" si="15"/>
        <v>377196.7389393035</v>
      </c>
      <c r="R34" s="94">
        <f t="shared" ca="1" si="11"/>
        <v>22631.804336358207</v>
      </c>
      <c r="S34" s="94">
        <f t="shared" ca="1" si="16"/>
        <v>9000</v>
      </c>
      <c r="T34" s="94">
        <f t="shared" ca="1" si="17"/>
        <v>408828.54327566171</v>
      </c>
      <c r="U34" s="34"/>
      <c r="V34" s="94">
        <f t="shared" ca="1" si="18"/>
        <v>39079.234788149857</v>
      </c>
      <c r="W34" s="34">
        <f t="shared" ca="1" si="19"/>
        <v>1757877.9031671323</v>
      </c>
      <c r="X34" s="34">
        <f t="shared" ca="1" si="12"/>
        <v>105472.67419002793</v>
      </c>
      <c r="Y34" s="34">
        <f t="shared" ca="1" si="20"/>
        <v>39079.234788149857</v>
      </c>
      <c r="Z34" s="34">
        <f t="shared" ca="1" si="21"/>
        <v>1902429.81214531</v>
      </c>
      <c r="AA34" s="34"/>
      <c r="AB34" s="34">
        <f t="shared" ca="1" si="22"/>
        <v>430338.03117052244</v>
      </c>
      <c r="AC34" s="34">
        <f ca="1">IF(ISNUMBER(D34), AB34*(Return), "")</f>
        <v>25820.281870231345</v>
      </c>
      <c r="AD34" s="34">
        <f t="shared" ca="1" si="23"/>
        <v>1771.9046106649403</v>
      </c>
      <c r="AE34" s="34">
        <f t="shared" ca="1" si="24"/>
        <v>457930.2176514187</v>
      </c>
    </row>
    <row r="35" spans="3:31" x14ac:dyDescent="0.25">
      <c r="C35">
        <f t="shared" ca="1" si="13"/>
        <v>2039</v>
      </c>
      <c r="D35">
        <f t="shared" ca="1" si="7"/>
        <v>54</v>
      </c>
      <c r="E35" s="34">
        <f ca="1">IF(ISNUMBER(D35), E34*(1+Inflation+Productivity), "")</f>
        <v>235659.93170348814</v>
      </c>
      <c r="F35" s="34">
        <f t="shared" ca="1" si="8"/>
        <v>51845.184974767391</v>
      </c>
      <c r="G35" s="109">
        <f t="shared" ca="1" si="9"/>
        <v>0.59757928483164635</v>
      </c>
      <c r="H35" s="34"/>
      <c r="I35" s="34">
        <v>20092.882357019818</v>
      </c>
      <c r="J35" s="34">
        <v>47856.215612965621</v>
      </c>
      <c r="K35" s="34">
        <f ca="1">IF(ISNUMBER(D35), MIN(0.0188*E35, 0.0188*47400*(1+Inflation)^(D35-Current_Age)), "")</f>
        <v>1491.2163500631582</v>
      </c>
      <c r="L35" s="34">
        <f t="shared" ca="1" si="3"/>
        <v>4232.827449352787</v>
      </c>
      <c r="M35" s="34">
        <v>15102.024170847611</v>
      </c>
      <c r="N35" s="34">
        <f t="shared" ca="1" si="10"/>
        <v>58571.11759855377</v>
      </c>
      <c r="O35" s="34"/>
      <c r="P35" s="94">
        <f t="shared" ca="1" si="14"/>
        <v>9000</v>
      </c>
      <c r="Q35" s="94">
        <f t="shared" ca="1" si="15"/>
        <v>408828.54327566171</v>
      </c>
      <c r="R35" s="94">
        <f t="shared" ca="1" si="11"/>
        <v>24529.712596539703</v>
      </c>
      <c r="S35" s="94">
        <f t="shared" ca="1" si="16"/>
        <v>9000</v>
      </c>
      <c r="T35" s="94">
        <f t="shared" ca="1" si="17"/>
        <v>442358.25587220141</v>
      </c>
      <c r="U35" s="34"/>
      <c r="V35" s="94">
        <f t="shared" ca="1" si="18"/>
        <v>39860.819483912863</v>
      </c>
      <c r="W35" s="34">
        <f t="shared" ca="1" si="19"/>
        <v>1902429.81214531</v>
      </c>
      <c r="X35" s="34">
        <f t="shared" ca="1" si="12"/>
        <v>114145.7887287186</v>
      </c>
      <c r="Y35" s="34">
        <f t="shared" ca="1" si="20"/>
        <v>39860.819483912863</v>
      </c>
      <c r="Z35" s="34">
        <f t="shared" ca="1" si="21"/>
        <v>2056436.4203579414</v>
      </c>
      <c r="AA35" s="34"/>
      <c r="AB35" s="34">
        <f t="shared" ca="1" si="22"/>
        <v>457930.2176514187</v>
      </c>
      <c r="AC35" s="34">
        <f ca="1">IF(ISNUMBER(D35), AB35*(Return), "")</f>
        <v>27475.813059085121</v>
      </c>
      <c r="AD35" s="34">
        <f t="shared" ca="1" si="23"/>
        <v>2984.3654908545286</v>
      </c>
      <c r="AE35" s="34">
        <f t="shared" ca="1" si="24"/>
        <v>488390.39620135835</v>
      </c>
    </row>
    <row r="36" spans="3:31" x14ac:dyDescent="0.25">
      <c r="C36">
        <f t="shared" ca="1" si="13"/>
        <v>2040</v>
      </c>
      <c r="D36">
        <f t="shared" ca="1" si="7"/>
        <v>55</v>
      </c>
      <c r="E36" s="34">
        <f ca="1">IF(ISNUMBER(D36), E35*(1+Inflation+Productivity), "")</f>
        <v>245086.32897162766</v>
      </c>
      <c r="F36" s="34">
        <f t="shared" ca="1" si="8"/>
        <v>53918.992373758083</v>
      </c>
      <c r="G36" s="109">
        <f t="shared" ca="1" si="9"/>
        <v>0.58586204395259456</v>
      </c>
      <c r="H36" s="34"/>
      <c r="I36" s="34">
        <v>21020.732971722402</v>
      </c>
      <c r="J36" s="34">
        <v>50180.16752910518</v>
      </c>
      <c r="K36" s="34">
        <f ca="1">IF(ISNUMBER(D36), MIN(0.0188*E36, 0.0188*47400*(1+Inflation)^(D36-Current_Age)), "")</f>
        <v>1521.0406770644211</v>
      </c>
      <c r="L36" s="34">
        <f t="shared" ca="1" si="3"/>
        <v>4317.4839983398424</v>
      </c>
      <c r="M36" s="34">
        <v>15545.460613286661</v>
      </c>
      <c r="N36" s="34">
        <f t="shared" ca="1" si="10"/>
        <v>61493.964562945184</v>
      </c>
      <c r="O36" s="34"/>
      <c r="P36" s="94">
        <f t="shared" ca="1" si="14"/>
        <v>9000</v>
      </c>
      <c r="Q36" s="94">
        <f t="shared" ca="1" si="15"/>
        <v>442358.25587220141</v>
      </c>
      <c r="R36" s="94">
        <f t="shared" ca="1" si="11"/>
        <v>26541.495352332084</v>
      </c>
      <c r="S36" s="94">
        <f t="shared" ca="1" si="16"/>
        <v>9000</v>
      </c>
      <c r="T36" s="94">
        <f t="shared" ca="1" si="17"/>
        <v>477899.75122453348</v>
      </c>
      <c r="U36" s="34"/>
      <c r="V36" s="94">
        <f t="shared" ca="1" si="18"/>
        <v>40658.035873591107</v>
      </c>
      <c r="W36" s="34">
        <f t="shared" ca="1" si="19"/>
        <v>2056436.4203579414</v>
      </c>
      <c r="X36" s="34">
        <f t="shared" ca="1" si="12"/>
        <v>123386.18522147648</v>
      </c>
      <c r="Y36" s="34">
        <f t="shared" ca="1" si="20"/>
        <v>40658.035873591107</v>
      </c>
      <c r="Z36" s="34">
        <f t="shared" ca="1" si="21"/>
        <v>2220480.6414530091</v>
      </c>
      <c r="AA36" s="34"/>
      <c r="AB36" s="34">
        <f t="shared" ca="1" si="22"/>
        <v>488390.39620135835</v>
      </c>
      <c r="AC36" s="34">
        <f ca="1">IF(ISNUMBER(D36), AB36*(Return), "")</f>
        <v>29303.4237720815</v>
      </c>
      <c r="AD36" s="34">
        <f t="shared" ca="1" si="23"/>
        <v>4260.9565001669762</v>
      </c>
      <c r="AE36" s="34">
        <f t="shared" ca="1" si="24"/>
        <v>521954.77647360682</v>
      </c>
    </row>
    <row r="37" spans="3:31" x14ac:dyDescent="0.25">
      <c r="C37" t="str">
        <f t="shared" ca="1" si="13"/>
        <v/>
      </c>
      <c r="D37" t="str">
        <f t="shared" ca="1" si="7"/>
        <v/>
      </c>
      <c r="E37" s="34" t="str">
        <f ca="1">IF(ISNUMBER(D37), E36*(1+Inflation+Productivity), "")</f>
        <v/>
      </c>
      <c r="F37" s="34" t="str">
        <f t="shared" ca="1" si="8"/>
        <v/>
      </c>
      <c r="G37" s="109" t="str">
        <f t="shared" ca="1" si="9"/>
        <v/>
      </c>
      <c r="H37" s="34"/>
      <c r="I37" s="34"/>
      <c r="J37" s="34"/>
      <c r="K37" s="34" t="str">
        <f ca="1">IF(ISNUMBER(D37), MIN(0.0188*E37, 0.0188*47400*(1+Inflation)^(D37-Current_Age)), "")</f>
        <v/>
      </c>
      <c r="L37" s="34" t="str">
        <f t="shared" ca="1" si="3"/>
        <v/>
      </c>
      <c r="M37" s="34"/>
      <c r="N37" s="34" t="str">
        <f t="shared" ca="1" si="10"/>
        <v/>
      </c>
      <c r="O37" s="34"/>
      <c r="P37" s="94" t="str">
        <f t="shared" ca="1" si="14"/>
        <v/>
      </c>
      <c r="Q37" s="94" t="str">
        <f t="shared" ca="1" si="15"/>
        <v/>
      </c>
      <c r="R37" s="94" t="str">
        <f t="shared" ca="1" si="11"/>
        <v/>
      </c>
      <c r="S37" s="94" t="str">
        <f t="shared" ca="1" si="16"/>
        <v/>
      </c>
      <c r="T37" s="94" t="str">
        <f t="shared" ca="1" si="17"/>
        <v/>
      </c>
      <c r="U37" s="34"/>
      <c r="V37" s="94" t="str">
        <f t="shared" ca="1" si="18"/>
        <v/>
      </c>
      <c r="W37" s="34" t="str">
        <f t="shared" ca="1" si="19"/>
        <v/>
      </c>
      <c r="X37" s="34" t="str">
        <f t="shared" ca="1" si="12"/>
        <v/>
      </c>
      <c r="Y37" s="34" t="str">
        <f t="shared" ca="1" si="20"/>
        <v/>
      </c>
      <c r="Z37" s="34" t="str">
        <f t="shared" ca="1" si="21"/>
        <v/>
      </c>
      <c r="AA37" s="34"/>
      <c r="AB37" s="34" t="str">
        <f t="shared" ca="1" si="22"/>
        <v/>
      </c>
      <c r="AC37" s="34" t="str">
        <f ca="1">IF(ISNUMBER(D37), AB37*(Return), "")</f>
        <v/>
      </c>
      <c r="AD37" s="34" t="str">
        <f t="shared" ca="1" si="23"/>
        <v/>
      </c>
      <c r="AE37" s="34" t="str">
        <f t="shared" ca="1" si="24"/>
        <v/>
      </c>
    </row>
    <row r="38" spans="3:31" x14ac:dyDescent="0.25">
      <c r="C38" t="str">
        <f t="shared" ca="1" si="13"/>
        <v/>
      </c>
      <c r="D38" t="str">
        <f t="shared" ca="1" si="7"/>
        <v/>
      </c>
      <c r="E38" s="34" t="str">
        <f ca="1">IF(ISNUMBER(D38), E37*(1+Inflation+Productivity), "")</f>
        <v/>
      </c>
      <c r="F38" s="34" t="str">
        <f t="shared" ca="1" si="8"/>
        <v/>
      </c>
      <c r="G38" s="109" t="str">
        <f t="shared" ca="1" si="9"/>
        <v/>
      </c>
      <c r="H38" s="34"/>
      <c r="I38" s="34"/>
      <c r="J38" s="34"/>
      <c r="K38" s="34" t="str">
        <f ca="1">IF(ISNUMBER(D38), MIN(0.0188*E38, 0.0188*47400*(1+Inflation)^(D38-Current_Age)), "")</f>
        <v/>
      </c>
      <c r="L38" s="34" t="str">
        <f t="shared" ca="1" si="3"/>
        <v/>
      </c>
      <c r="M38" s="34"/>
      <c r="N38" s="34" t="str">
        <f t="shared" ca="1" si="10"/>
        <v/>
      </c>
      <c r="O38" s="34"/>
      <c r="P38" s="94" t="str">
        <f t="shared" ca="1" si="14"/>
        <v/>
      </c>
      <c r="Q38" s="94" t="str">
        <f t="shared" ca="1" si="15"/>
        <v/>
      </c>
      <c r="R38" s="94" t="str">
        <f t="shared" ca="1" si="11"/>
        <v/>
      </c>
      <c r="S38" s="94" t="str">
        <f t="shared" ca="1" si="16"/>
        <v/>
      </c>
      <c r="T38" s="94" t="str">
        <f t="shared" ca="1" si="17"/>
        <v/>
      </c>
      <c r="U38" s="34"/>
      <c r="V38" s="94" t="str">
        <f t="shared" ca="1" si="18"/>
        <v/>
      </c>
      <c r="W38" s="34" t="str">
        <f t="shared" ca="1" si="19"/>
        <v/>
      </c>
      <c r="X38" s="34" t="str">
        <f t="shared" ca="1" si="12"/>
        <v/>
      </c>
      <c r="Y38" s="34" t="str">
        <f t="shared" ca="1" si="20"/>
        <v/>
      </c>
      <c r="Z38" s="34" t="str">
        <f t="shared" ca="1" si="21"/>
        <v/>
      </c>
      <c r="AA38" s="34"/>
      <c r="AB38" s="34" t="str">
        <f t="shared" ca="1" si="22"/>
        <v/>
      </c>
      <c r="AC38" s="34" t="str">
        <f ca="1">IF(ISNUMBER(D38), AB38*(Return), "")</f>
        <v/>
      </c>
      <c r="AD38" s="34" t="str">
        <f t="shared" ca="1" si="23"/>
        <v/>
      </c>
      <c r="AE38" s="34" t="str">
        <f t="shared" ca="1" si="24"/>
        <v/>
      </c>
    </row>
    <row r="39" spans="3:31" x14ac:dyDescent="0.25">
      <c r="C39" t="str">
        <f t="shared" ca="1" si="13"/>
        <v/>
      </c>
      <c r="D39" t="str">
        <f t="shared" ca="1" si="7"/>
        <v/>
      </c>
      <c r="E39" s="34" t="str">
        <f ca="1">IF(ISNUMBER(D39), E38*(1+Inflation+Productivity), "")</f>
        <v/>
      </c>
      <c r="F39" s="34" t="str">
        <f t="shared" ca="1" si="8"/>
        <v/>
      </c>
      <c r="G39" s="109" t="str">
        <f t="shared" ca="1" si="9"/>
        <v/>
      </c>
      <c r="H39" s="34"/>
      <c r="I39" s="34"/>
      <c r="J39" s="34"/>
      <c r="K39" s="34" t="str">
        <f ca="1">IF(ISNUMBER(D39), MIN(0.0188*E39, 0.0188*47400*(1+Inflation)^(D39-Current_Age)), "")</f>
        <v/>
      </c>
      <c r="L39" s="34" t="str">
        <f t="shared" ca="1" si="3"/>
        <v/>
      </c>
      <c r="M39" s="34"/>
      <c r="N39" s="34" t="str">
        <f t="shared" ca="1" si="10"/>
        <v/>
      </c>
      <c r="O39" s="34"/>
      <c r="P39" s="94" t="str">
        <f t="shared" ca="1" si="14"/>
        <v/>
      </c>
      <c r="Q39" s="94" t="str">
        <f t="shared" ca="1" si="15"/>
        <v/>
      </c>
      <c r="R39" s="94" t="str">
        <f t="shared" ca="1" si="11"/>
        <v/>
      </c>
      <c r="S39" s="94" t="str">
        <f t="shared" ca="1" si="16"/>
        <v/>
      </c>
      <c r="T39" s="94" t="str">
        <f t="shared" ca="1" si="17"/>
        <v/>
      </c>
      <c r="U39" s="34"/>
      <c r="V39" s="94" t="str">
        <f t="shared" ca="1" si="18"/>
        <v/>
      </c>
      <c r="W39" s="34" t="str">
        <f t="shared" ca="1" si="19"/>
        <v/>
      </c>
      <c r="X39" s="34" t="str">
        <f t="shared" ca="1" si="12"/>
        <v/>
      </c>
      <c r="Y39" s="34" t="str">
        <f t="shared" ca="1" si="20"/>
        <v/>
      </c>
      <c r="Z39" s="34" t="str">
        <f t="shared" ca="1" si="21"/>
        <v/>
      </c>
      <c r="AA39" s="34"/>
      <c r="AB39" s="34" t="str">
        <f t="shared" ca="1" si="22"/>
        <v/>
      </c>
      <c r="AC39" s="34" t="str">
        <f ca="1">IF(ISNUMBER(D39), AB39*(Return), "")</f>
        <v/>
      </c>
      <c r="AD39" s="34" t="str">
        <f t="shared" ca="1" si="23"/>
        <v/>
      </c>
      <c r="AE39" s="34" t="str">
        <f t="shared" ca="1" si="24"/>
        <v/>
      </c>
    </row>
    <row r="40" spans="3:31" x14ac:dyDescent="0.25">
      <c r="C40" t="str">
        <f t="shared" ca="1" si="13"/>
        <v/>
      </c>
      <c r="D40" t="str">
        <f t="shared" ca="1" si="7"/>
        <v/>
      </c>
      <c r="E40" s="34" t="str">
        <f ca="1">IF(ISNUMBER(D40), E39*(1+Inflation+Productivity), "")</f>
        <v/>
      </c>
      <c r="F40" s="34" t="str">
        <f t="shared" ca="1" si="8"/>
        <v/>
      </c>
      <c r="G40" s="109" t="str">
        <f t="shared" ca="1" si="9"/>
        <v/>
      </c>
      <c r="H40" s="34"/>
      <c r="I40" s="34"/>
      <c r="J40" s="34"/>
      <c r="K40" s="34" t="str">
        <f ca="1">IF(ISNUMBER(D40), MIN(0.0188*E40, 0.0188*47400*(1+Inflation)^(D40-Current_Age)), "")</f>
        <v/>
      </c>
      <c r="L40" s="34" t="str">
        <f t="shared" ca="1" si="3"/>
        <v/>
      </c>
      <c r="M40" s="34"/>
      <c r="N40" s="34" t="str">
        <f t="shared" ca="1" si="10"/>
        <v/>
      </c>
      <c r="O40" s="34"/>
      <c r="P40" s="94" t="str">
        <f t="shared" ca="1" si="14"/>
        <v/>
      </c>
      <c r="Q40" s="94" t="str">
        <f t="shared" ca="1" si="15"/>
        <v/>
      </c>
      <c r="R40" s="94" t="str">
        <f t="shared" ca="1" si="11"/>
        <v/>
      </c>
      <c r="S40" s="94" t="str">
        <f t="shared" ca="1" si="16"/>
        <v/>
      </c>
      <c r="T40" s="94" t="str">
        <f t="shared" ca="1" si="17"/>
        <v/>
      </c>
      <c r="U40" s="34"/>
      <c r="V40" s="94" t="str">
        <f t="shared" ca="1" si="18"/>
        <v/>
      </c>
      <c r="W40" s="34" t="str">
        <f t="shared" ca="1" si="19"/>
        <v/>
      </c>
      <c r="X40" s="34" t="str">
        <f t="shared" ca="1" si="12"/>
        <v/>
      </c>
      <c r="Y40" s="34" t="str">
        <f t="shared" ca="1" si="20"/>
        <v/>
      </c>
      <c r="Z40" s="34" t="str">
        <f t="shared" ca="1" si="21"/>
        <v/>
      </c>
      <c r="AA40" s="34"/>
      <c r="AB40" s="34" t="str">
        <f t="shared" ca="1" si="22"/>
        <v/>
      </c>
      <c r="AC40" s="34" t="str">
        <f ca="1">IF(ISNUMBER(D40), AB40*(Return), "")</f>
        <v/>
      </c>
      <c r="AD40" s="34" t="str">
        <f t="shared" ca="1" si="23"/>
        <v/>
      </c>
      <c r="AE40" s="34" t="str">
        <f t="shared" ca="1" si="24"/>
        <v/>
      </c>
    </row>
    <row r="41" spans="3:31" x14ac:dyDescent="0.25">
      <c r="C41" t="str">
        <f t="shared" ref="C41:C100" ca="1" si="25">IF(ISNUMBER(D41), C40+1, "")</f>
        <v/>
      </c>
      <c r="D41" t="str">
        <f t="shared" ca="1" si="7"/>
        <v/>
      </c>
      <c r="E41" s="34" t="str">
        <f ca="1">IF(ISNUMBER(D41), E40*(1+Inflation+Productivity), "")</f>
        <v/>
      </c>
      <c r="F41" s="34" t="str">
        <f t="shared" ref="F41:F100" ca="1" si="26">IF(ISNUMBER(D41), Savings_Rate*E41, "")</f>
        <v/>
      </c>
      <c r="G41" s="109" t="str">
        <f t="shared" ref="G41:G100" ca="1" si="27">IF(ISNUMBER(D41), (1+Inflation)^-(D41-Current_Age), "")</f>
        <v/>
      </c>
      <c r="H41" s="34"/>
      <c r="I41" s="34"/>
      <c r="J41" s="34"/>
      <c r="K41" s="34" t="str">
        <f ca="1">IF(ISNUMBER(D41), MIN(0.0188*E41, 0.0188*47400*(1+Inflation)^(D41-Current_Age)), "")</f>
        <v/>
      </c>
      <c r="L41" s="34" t="str">
        <f t="shared" ref="L41:L100" ca="1" si="28">IF(ISNUMBER(D41), MIN(0.0495*E41, 0.0495*51100*(1+Inflation)^(D41-Current_Age)), "")</f>
        <v/>
      </c>
      <c r="M41" s="34"/>
      <c r="N41" s="34" t="str">
        <f t="shared" ref="N41:N100" ca="1" si="29">IF(ISNUMBER(D41), SUM(I41:L41)-M41, "")</f>
        <v/>
      </c>
      <c r="O41" s="34"/>
      <c r="P41" s="94" t="str">
        <f t="shared" ref="P41:P100" ca="1" si="30">IF(ISNUMBER(D41), IF(P40+500&lt;$P$9*(1+Inflation)^(D41-Current_Age), P40+500, P40), "")</f>
        <v/>
      </c>
      <c r="Q41" s="94" t="str">
        <f t="shared" ref="Q41:Q100" ca="1" si="31">IF(ISNUMBER(D41), T40, "")</f>
        <v/>
      </c>
      <c r="R41" s="94" t="str">
        <f t="shared" ref="R41:R100" ca="1" si="32">IF(ISNUMBER(D41), Q41*(Return), "")</f>
        <v/>
      </c>
      <c r="S41" s="94" t="str">
        <f t="shared" ref="S41:S100" ca="1" si="33">IF(ISNUMBER(D41), IF(F41-Y41&gt;0, IF(F41-Y41-P41&gt;0, P41, F41-Y41), F41-Y41), "")</f>
        <v/>
      </c>
      <c r="T41" s="94" t="str">
        <f t="shared" ref="T41:T100" ca="1" si="34">IF(ISNUMBER(D41), SUM(Q41:S41), "")</f>
        <v/>
      </c>
      <c r="U41" s="34"/>
      <c r="V41" s="94" t="str">
        <f t="shared" ref="V41:V100" ca="1" si="35">IF(ISNUMBER(D41), (V40-Y40)+MIN(23820*(1+Inflation)^(D41-Current_Age), 0.18*E41), "")</f>
        <v/>
      </c>
      <c r="W41" s="34" t="str">
        <f t="shared" ref="W41:W100" ca="1" si="36">IF(ISNUMBER(D41), Z40, "")</f>
        <v/>
      </c>
      <c r="X41" s="34" t="str">
        <f t="shared" ref="X41:X100" ca="1" si="37">IF(ISNUMBER(D41), W41*(Return), "")</f>
        <v/>
      </c>
      <c r="Y41" s="34" t="str">
        <f t="shared" ref="Y41:Y100" ca="1" si="38">IF(ISNUMBER(D41), IF(F41&lt;V41, F41, V41), "")</f>
        <v/>
      </c>
      <c r="Z41" s="34" t="str">
        <f t="shared" ref="Z41:Z100" ca="1" si="39">IF(ISNUMBER(D41), SUM(W41:Y41), "")</f>
        <v/>
      </c>
      <c r="AA41" s="34"/>
      <c r="AB41" s="34" t="str">
        <f t="shared" ref="AB41:AB100" ca="1" si="40">IF(ISNUMBER(D41), AE40, "")</f>
        <v/>
      </c>
      <c r="AC41" s="34" t="str">
        <f ca="1">IF(ISNUMBER(D41), AB41*(Return), "")</f>
        <v/>
      </c>
      <c r="AD41" s="34" t="str">
        <f t="shared" ref="AD41:AD100" ca="1" si="41">IF(ISNUMBER(D41), IF(F41-S41-Y41&gt;0, F41-S41-Y41, 0), "")</f>
        <v/>
      </c>
      <c r="AE41" s="34" t="str">
        <f t="shared" ref="AE41:AE100" ca="1" si="42">IF(ISNUMBER(D41), SUM(AB41:AD41), "")</f>
        <v/>
      </c>
    </row>
    <row r="42" spans="3:31" x14ac:dyDescent="0.25">
      <c r="C42" t="str">
        <f t="shared" ca="1" si="25"/>
        <v/>
      </c>
      <c r="D42" t="str">
        <f t="shared" ca="1" si="7"/>
        <v/>
      </c>
      <c r="E42" s="34" t="str">
        <f ca="1">IF(ISNUMBER(D42), E41*(1+Inflation+Productivity), "")</f>
        <v/>
      </c>
      <c r="F42" s="34" t="str">
        <f t="shared" ca="1" si="26"/>
        <v/>
      </c>
      <c r="G42" s="109" t="str">
        <f t="shared" ca="1" si="27"/>
        <v/>
      </c>
      <c r="H42" s="34"/>
      <c r="I42" s="34"/>
      <c r="J42" s="34"/>
      <c r="K42" s="34" t="str">
        <f ca="1">IF(ISNUMBER(D42), MIN(0.0188*E42, 0.0188*47400*(1+Inflation)^(D42-Current_Age)), "")</f>
        <v/>
      </c>
      <c r="L42" s="34" t="str">
        <f t="shared" ca="1" si="28"/>
        <v/>
      </c>
      <c r="M42" s="34"/>
      <c r="N42" s="34" t="str">
        <f t="shared" ca="1" si="29"/>
        <v/>
      </c>
      <c r="O42" s="34"/>
      <c r="P42" s="94" t="str">
        <f t="shared" ca="1" si="30"/>
        <v/>
      </c>
      <c r="Q42" s="94" t="str">
        <f t="shared" ca="1" si="31"/>
        <v/>
      </c>
      <c r="R42" s="94" t="str">
        <f t="shared" ca="1" si="32"/>
        <v/>
      </c>
      <c r="S42" s="94" t="str">
        <f t="shared" ca="1" si="33"/>
        <v/>
      </c>
      <c r="T42" s="94" t="str">
        <f t="shared" ca="1" si="34"/>
        <v/>
      </c>
      <c r="U42" s="34"/>
      <c r="V42" s="94" t="str">
        <f t="shared" ca="1" si="35"/>
        <v/>
      </c>
      <c r="W42" s="34" t="str">
        <f t="shared" ca="1" si="36"/>
        <v/>
      </c>
      <c r="X42" s="34" t="str">
        <f t="shared" ca="1" si="37"/>
        <v/>
      </c>
      <c r="Y42" s="34" t="str">
        <f t="shared" ca="1" si="38"/>
        <v/>
      </c>
      <c r="Z42" s="34" t="str">
        <f t="shared" ca="1" si="39"/>
        <v/>
      </c>
      <c r="AA42" s="34"/>
      <c r="AB42" s="34" t="str">
        <f t="shared" ca="1" si="40"/>
        <v/>
      </c>
      <c r="AC42" s="34" t="str">
        <f ca="1">IF(ISNUMBER(D42), AB42*(Return), "")</f>
        <v/>
      </c>
      <c r="AD42" s="34" t="str">
        <f t="shared" ca="1" si="41"/>
        <v/>
      </c>
      <c r="AE42" s="34" t="str">
        <f t="shared" ca="1" si="42"/>
        <v/>
      </c>
    </row>
    <row r="43" spans="3:31" x14ac:dyDescent="0.25">
      <c r="C43" t="str">
        <f t="shared" ca="1" si="25"/>
        <v/>
      </c>
      <c r="D43" t="str">
        <f t="shared" ca="1" si="7"/>
        <v/>
      </c>
      <c r="E43" s="34" t="str">
        <f ca="1">IF(ISNUMBER(D43), E42*(1+Inflation+Productivity), "")</f>
        <v/>
      </c>
      <c r="F43" s="34" t="str">
        <f t="shared" ca="1" si="26"/>
        <v/>
      </c>
      <c r="G43" s="109" t="str">
        <f t="shared" ca="1" si="27"/>
        <v/>
      </c>
      <c r="H43" s="34"/>
      <c r="I43" s="34"/>
      <c r="J43" s="34"/>
      <c r="K43" s="34" t="str">
        <f ca="1">IF(ISNUMBER(D43), MIN(0.0188*E43, 0.0188*47400*(1+Inflation)^(D43-Current_Age)), "")</f>
        <v/>
      </c>
      <c r="L43" s="34" t="str">
        <f t="shared" ca="1" si="28"/>
        <v/>
      </c>
      <c r="M43" s="34"/>
      <c r="N43" s="34" t="str">
        <f t="shared" ca="1" si="29"/>
        <v/>
      </c>
      <c r="O43" s="34"/>
      <c r="P43" s="94" t="str">
        <f t="shared" ca="1" si="30"/>
        <v/>
      </c>
      <c r="Q43" s="94" t="str">
        <f t="shared" ca="1" si="31"/>
        <v/>
      </c>
      <c r="R43" s="94" t="str">
        <f t="shared" ca="1" si="32"/>
        <v/>
      </c>
      <c r="S43" s="94" t="str">
        <f t="shared" ca="1" si="33"/>
        <v/>
      </c>
      <c r="T43" s="94" t="str">
        <f t="shared" ca="1" si="34"/>
        <v/>
      </c>
      <c r="U43" s="34"/>
      <c r="V43" s="94" t="str">
        <f t="shared" ca="1" si="35"/>
        <v/>
      </c>
      <c r="W43" s="34" t="str">
        <f t="shared" ca="1" si="36"/>
        <v/>
      </c>
      <c r="X43" s="34" t="str">
        <f t="shared" ca="1" si="37"/>
        <v/>
      </c>
      <c r="Y43" s="34" t="str">
        <f t="shared" ca="1" si="38"/>
        <v/>
      </c>
      <c r="Z43" s="34" t="str">
        <f t="shared" ca="1" si="39"/>
        <v/>
      </c>
      <c r="AA43" s="34"/>
      <c r="AB43" s="34" t="str">
        <f t="shared" ca="1" si="40"/>
        <v/>
      </c>
      <c r="AC43" s="34" t="str">
        <f ca="1">IF(ISNUMBER(D43), AB43*(Return), "")</f>
        <v/>
      </c>
      <c r="AD43" s="34" t="str">
        <f t="shared" ca="1" si="41"/>
        <v/>
      </c>
      <c r="AE43" s="34" t="str">
        <f t="shared" ca="1" si="42"/>
        <v/>
      </c>
    </row>
    <row r="44" spans="3:31" x14ac:dyDescent="0.25">
      <c r="C44" t="str">
        <f t="shared" ca="1" si="25"/>
        <v/>
      </c>
      <c r="D44" t="str">
        <f t="shared" ca="1" si="7"/>
        <v/>
      </c>
      <c r="E44" s="34" t="str">
        <f ca="1">IF(ISNUMBER(D44), E43*(1+Inflation+Productivity), "")</f>
        <v/>
      </c>
      <c r="F44" s="34" t="str">
        <f t="shared" ca="1" si="26"/>
        <v/>
      </c>
      <c r="G44" s="109" t="str">
        <f t="shared" ca="1" si="27"/>
        <v/>
      </c>
      <c r="H44" s="34"/>
      <c r="I44" s="34"/>
      <c r="J44" s="34"/>
      <c r="K44" s="34" t="str">
        <f ca="1">IF(ISNUMBER(D44), MIN(0.0188*E44, 0.0188*47400*(1+Inflation)^(D44-Current_Age)), "")</f>
        <v/>
      </c>
      <c r="L44" s="34" t="str">
        <f t="shared" ca="1" si="28"/>
        <v/>
      </c>
      <c r="M44" s="34"/>
      <c r="N44" s="34" t="str">
        <f t="shared" ca="1" si="29"/>
        <v/>
      </c>
      <c r="O44" s="34"/>
      <c r="P44" s="94" t="str">
        <f t="shared" ca="1" si="30"/>
        <v/>
      </c>
      <c r="Q44" s="94" t="str">
        <f t="shared" ca="1" si="31"/>
        <v/>
      </c>
      <c r="R44" s="94" t="str">
        <f t="shared" ca="1" si="32"/>
        <v/>
      </c>
      <c r="S44" s="94" t="str">
        <f t="shared" ca="1" si="33"/>
        <v/>
      </c>
      <c r="T44" s="94" t="str">
        <f t="shared" ca="1" si="34"/>
        <v/>
      </c>
      <c r="U44" s="34"/>
      <c r="V44" s="94" t="str">
        <f t="shared" ca="1" si="35"/>
        <v/>
      </c>
      <c r="W44" s="34" t="str">
        <f t="shared" ca="1" si="36"/>
        <v/>
      </c>
      <c r="X44" s="34" t="str">
        <f t="shared" ca="1" si="37"/>
        <v/>
      </c>
      <c r="Y44" s="34" t="str">
        <f t="shared" ca="1" si="38"/>
        <v/>
      </c>
      <c r="Z44" s="34" t="str">
        <f t="shared" ca="1" si="39"/>
        <v/>
      </c>
      <c r="AA44" s="34"/>
      <c r="AB44" s="34" t="str">
        <f t="shared" ca="1" si="40"/>
        <v/>
      </c>
      <c r="AC44" s="34" t="str">
        <f ca="1">IF(ISNUMBER(D44), AB44*(Return), "")</f>
        <v/>
      </c>
      <c r="AD44" s="34" t="str">
        <f t="shared" ca="1" si="41"/>
        <v/>
      </c>
      <c r="AE44" s="34" t="str">
        <f t="shared" ca="1" si="42"/>
        <v/>
      </c>
    </row>
    <row r="45" spans="3:31" x14ac:dyDescent="0.25">
      <c r="C45" t="str">
        <f t="shared" ca="1" si="25"/>
        <v/>
      </c>
      <c r="D45" t="str">
        <f t="shared" ca="1" si="7"/>
        <v/>
      </c>
      <c r="E45" s="34" t="str">
        <f ca="1">IF(ISNUMBER(D45), E44*(1+Inflation+Productivity), "")</f>
        <v/>
      </c>
      <c r="F45" s="34" t="str">
        <f t="shared" ca="1" si="26"/>
        <v/>
      </c>
      <c r="G45" s="109" t="str">
        <f t="shared" ca="1" si="27"/>
        <v/>
      </c>
      <c r="H45" s="34"/>
      <c r="I45" s="34"/>
      <c r="J45" s="34"/>
      <c r="K45" s="34" t="str">
        <f ca="1">IF(ISNUMBER(D45), MIN(0.0188*E45, 0.0188*47400*(1+Inflation)^(D45-Current_Age)), "")</f>
        <v/>
      </c>
      <c r="L45" s="34" t="str">
        <f t="shared" ca="1" si="28"/>
        <v/>
      </c>
      <c r="M45" s="34"/>
      <c r="N45" s="34" t="str">
        <f t="shared" ca="1" si="29"/>
        <v/>
      </c>
      <c r="O45" s="34"/>
      <c r="P45" s="94" t="str">
        <f t="shared" ca="1" si="30"/>
        <v/>
      </c>
      <c r="Q45" s="94" t="str">
        <f t="shared" ca="1" si="31"/>
        <v/>
      </c>
      <c r="R45" s="94" t="str">
        <f t="shared" ca="1" si="32"/>
        <v/>
      </c>
      <c r="S45" s="94" t="str">
        <f t="shared" ca="1" si="33"/>
        <v/>
      </c>
      <c r="T45" s="94" t="str">
        <f t="shared" ca="1" si="34"/>
        <v/>
      </c>
      <c r="U45" s="34"/>
      <c r="V45" s="94" t="str">
        <f t="shared" ca="1" si="35"/>
        <v/>
      </c>
      <c r="W45" s="34" t="str">
        <f t="shared" ca="1" si="36"/>
        <v/>
      </c>
      <c r="X45" s="34" t="str">
        <f t="shared" ca="1" si="37"/>
        <v/>
      </c>
      <c r="Y45" s="34" t="str">
        <f t="shared" ca="1" si="38"/>
        <v/>
      </c>
      <c r="Z45" s="34" t="str">
        <f t="shared" ca="1" si="39"/>
        <v/>
      </c>
      <c r="AA45" s="34"/>
      <c r="AB45" s="34" t="str">
        <f t="shared" ca="1" si="40"/>
        <v/>
      </c>
      <c r="AC45" s="34" t="str">
        <f ca="1">IF(ISNUMBER(D45), AB45*(Return), "")</f>
        <v/>
      </c>
      <c r="AD45" s="34" t="str">
        <f t="shared" ca="1" si="41"/>
        <v/>
      </c>
      <c r="AE45" s="34" t="str">
        <f t="shared" ca="1" si="42"/>
        <v/>
      </c>
    </row>
    <row r="46" spans="3:31" x14ac:dyDescent="0.25">
      <c r="C46" t="str">
        <f t="shared" ca="1" si="25"/>
        <v/>
      </c>
      <c r="D46" t="str">
        <f t="shared" ca="1" si="7"/>
        <v/>
      </c>
      <c r="E46" s="34" t="str">
        <f ca="1">IF(ISNUMBER(D46), E45*(1+Inflation+Productivity), "")</f>
        <v/>
      </c>
      <c r="F46" s="34" t="str">
        <f t="shared" ca="1" si="26"/>
        <v/>
      </c>
      <c r="G46" s="109" t="str">
        <f t="shared" ca="1" si="27"/>
        <v/>
      </c>
      <c r="H46" s="34"/>
      <c r="I46" s="34"/>
      <c r="J46" s="34"/>
      <c r="K46" s="34" t="str">
        <f ca="1">IF(ISNUMBER(D46), MIN(0.0188*E46, 0.0188*47400*(1+Inflation)^(D46-Current_Age)), "")</f>
        <v/>
      </c>
      <c r="L46" s="34" t="str">
        <f t="shared" ca="1" si="28"/>
        <v/>
      </c>
      <c r="M46" s="34"/>
      <c r="N46" s="34" t="str">
        <f t="shared" ca="1" si="29"/>
        <v/>
      </c>
      <c r="O46" s="34"/>
      <c r="P46" s="94" t="str">
        <f t="shared" ca="1" si="30"/>
        <v/>
      </c>
      <c r="Q46" s="94" t="str">
        <f t="shared" ca="1" si="31"/>
        <v/>
      </c>
      <c r="R46" s="94" t="str">
        <f t="shared" ca="1" si="32"/>
        <v/>
      </c>
      <c r="S46" s="94" t="str">
        <f t="shared" ca="1" si="33"/>
        <v/>
      </c>
      <c r="T46" s="94" t="str">
        <f t="shared" ca="1" si="34"/>
        <v/>
      </c>
      <c r="U46" s="34"/>
      <c r="V46" s="94" t="str">
        <f t="shared" ca="1" si="35"/>
        <v/>
      </c>
      <c r="W46" s="34" t="str">
        <f t="shared" ca="1" si="36"/>
        <v/>
      </c>
      <c r="X46" s="34" t="str">
        <f t="shared" ca="1" si="37"/>
        <v/>
      </c>
      <c r="Y46" s="34" t="str">
        <f t="shared" ca="1" si="38"/>
        <v/>
      </c>
      <c r="Z46" s="34" t="str">
        <f t="shared" ca="1" si="39"/>
        <v/>
      </c>
      <c r="AA46" s="34"/>
      <c r="AB46" s="34" t="str">
        <f t="shared" ca="1" si="40"/>
        <v/>
      </c>
      <c r="AC46" s="34" t="str">
        <f ca="1">IF(ISNUMBER(D46), AB46*(Return), "")</f>
        <v/>
      </c>
      <c r="AD46" s="34" t="str">
        <f t="shared" ca="1" si="41"/>
        <v/>
      </c>
      <c r="AE46" s="34" t="str">
        <f t="shared" ca="1" si="42"/>
        <v/>
      </c>
    </row>
    <row r="47" spans="3:31" x14ac:dyDescent="0.25">
      <c r="C47" t="str">
        <f t="shared" ca="1" si="25"/>
        <v/>
      </c>
      <c r="D47" t="str">
        <f t="shared" ca="1" si="7"/>
        <v/>
      </c>
      <c r="E47" s="34" t="str">
        <f ca="1">IF(ISNUMBER(D47), E46*(1+Inflation+Productivity), "")</f>
        <v/>
      </c>
      <c r="F47" s="34" t="str">
        <f t="shared" ca="1" si="26"/>
        <v/>
      </c>
      <c r="G47" s="109" t="str">
        <f t="shared" ca="1" si="27"/>
        <v/>
      </c>
      <c r="H47" s="34"/>
      <c r="I47" s="34"/>
      <c r="J47" s="34"/>
      <c r="K47" s="34" t="str">
        <f ca="1">IF(ISNUMBER(D47), MIN(0.0188*E47, 0.0188*47400*(1+Inflation)^(D47-Current_Age)), "")</f>
        <v/>
      </c>
      <c r="L47" s="34" t="str">
        <f t="shared" ca="1" si="28"/>
        <v/>
      </c>
      <c r="M47" s="34"/>
      <c r="N47" s="34" t="str">
        <f t="shared" ca="1" si="29"/>
        <v/>
      </c>
      <c r="O47" s="34"/>
      <c r="P47" s="94" t="str">
        <f t="shared" ca="1" si="30"/>
        <v/>
      </c>
      <c r="Q47" s="94" t="str">
        <f t="shared" ca="1" si="31"/>
        <v/>
      </c>
      <c r="R47" s="94" t="str">
        <f t="shared" ca="1" si="32"/>
        <v/>
      </c>
      <c r="S47" s="94" t="str">
        <f t="shared" ca="1" si="33"/>
        <v/>
      </c>
      <c r="T47" s="94" t="str">
        <f t="shared" ca="1" si="34"/>
        <v/>
      </c>
      <c r="U47" s="34"/>
      <c r="V47" s="94" t="str">
        <f t="shared" ca="1" si="35"/>
        <v/>
      </c>
      <c r="W47" s="34" t="str">
        <f t="shared" ca="1" si="36"/>
        <v/>
      </c>
      <c r="X47" s="34" t="str">
        <f t="shared" ca="1" si="37"/>
        <v/>
      </c>
      <c r="Y47" s="34" t="str">
        <f t="shared" ca="1" si="38"/>
        <v/>
      </c>
      <c r="Z47" s="34" t="str">
        <f t="shared" ca="1" si="39"/>
        <v/>
      </c>
      <c r="AA47" s="34"/>
      <c r="AB47" s="34" t="str">
        <f t="shared" ca="1" si="40"/>
        <v/>
      </c>
      <c r="AC47" s="34" t="str">
        <f ca="1">IF(ISNUMBER(D47), AB47*(Return), "")</f>
        <v/>
      </c>
      <c r="AD47" s="34" t="str">
        <f t="shared" ca="1" si="41"/>
        <v/>
      </c>
      <c r="AE47" s="34" t="str">
        <f t="shared" ca="1" si="42"/>
        <v/>
      </c>
    </row>
    <row r="48" spans="3:31" x14ac:dyDescent="0.25">
      <c r="C48" t="str">
        <f t="shared" ca="1" si="25"/>
        <v/>
      </c>
      <c r="D48" t="str">
        <f t="shared" ca="1" si="7"/>
        <v/>
      </c>
      <c r="E48" s="34" t="str">
        <f ca="1">IF(ISNUMBER(D48), E47*(1+Inflation+Productivity), "")</f>
        <v/>
      </c>
      <c r="F48" s="34" t="str">
        <f t="shared" ca="1" si="26"/>
        <v/>
      </c>
      <c r="G48" s="109" t="str">
        <f t="shared" ca="1" si="27"/>
        <v/>
      </c>
      <c r="H48" s="34"/>
      <c r="I48" s="34"/>
      <c r="J48" s="34"/>
      <c r="K48" s="34" t="str">
        <f ca="1">IF(ISNUMBER(D48), MIN(0.0188*E48, 0.0188*47400*(1+Inflation)^(D48-Current_Age)), "")</f>
        <v/>
      </c>
      <c r="L48" s="34" t="str">
        <f t="shared" ca="1" si="28"/>
        <v/>
      </c>
      <c r="M48" s="34"/>
      <c r="N48" s="34" t="str">
        <f t="shared" ca="1" si="29"/>
        <v/>
      </c>
      <c r="O48" s="34"/>
      <c r="P48" s="94" t="str">
        <f t="shared" ca="1" si="30"/>
        <v/>
      </c>
      <c r="Q48" s="94" t="str">
        <f t="shared" ca="1" si="31"/>
        <v/>
      </c>
      <c r="R48" s="94" t="str">
        <f t="shared" ca="1" si="32"/>
        <v/>
      </c>
      <c r="S48" s="94" t="str">
        <f t="shared" ca="1" si="33"/>
        <v/>
      </c>
      <c r="T48" s="94" t="str">
        <f t="shared" ca="1" si="34"/>
        <v/>
      </c>
      <c r="U48" s="34"/>
      <c r="V48" s="94" t="str">
        <f t="shared" ca="1" si="35"/>
        <v/>
      </c>
      <c r="W48" s="34" t="str">
        <f t="shared" ca="1" si="36"/>
        <v/>
      </c>
      <c r="X48" s="34" t="str">
        <f t="shared" ca="1" si="37"/>
        <v/>
      </c>
      <c r="Y48" s="34" t="str">
        <f t="shared" ca="1" si="38"/>
        <v/>
      </c>
      <c r="Z48" s="34" t="str">
        <f t="shared" ca="1" si="39"/>
        <v/>
      </c>
      <c r="AA48" s="34"/>
      <c r="AB48" s="34" t="str">
        <f t="shared" ca="1" si="40"/>
        <v/>
      </c>
      <c r="AC48" s="34" t="str">
        <f ca="1">IF(ISNUMBER(D48), AB48*(Return), "")</f>
        <v/>
      </c>
      <c r="AD48" s="34" t="str">
        <f t="shared" ca="1" si="41"/>
        <v/>
      </c>
      <c r="AE48" s="34" t="str">
        <f t="shared" ca="1" si="42"/>
        <v/>
      </c>
    </row>
    <row r="49" spans="3:31" x14ac:dyDescent="0.25">
      <c r="C49" t="str">
        <f t="shared" ca="1" si="25"/>
        <v/>
      </c>
      <c r="D49" t="str">
        <f t="shared" ca="1" si="7"/>
        <v/>
      </c>
      <c r="E49" s="34" t="str">
        <f ca="1">IF(ISNUMBER(D49), E48*(1+Inflation+Productivity), "")</f>
        <v/>
      </c>
      <c r="F49" s="34" t="str">
        <f t="shared" ca="1" si="26"/>
        <v/>
      </c>
      <c r="G49" s="109" t="str">
        <f t="shared" ca="1" si="27"/>
        <v/>
      </c>
      <c r="H49" s="34"/>
      <c r="I49" s="34"/>
      <c r="J49" s="34"/>
      <c r="K49" s="34" t="str">
        <f ca="1">IF(ISNUMBER(D49), MIN(0.0188*E49, 0.0188*47400*(1+Inflation)^(D49-Current_Age)), "")</f>
        <v/>
      </c>
      <c r="L49" s="34" t="str">
        <f t="shared" ca="1" si="28"/>
        <v/>
      </c>
      <c r="M49" s="34"/>
      <c r="N49" s="34" t="str">
        <f t="shared" ca="1" si="29"/>
        <v/>
      </c>
      <c r="O49" s="34"/>
      <c r="P49" s="94" t="str">
        <f t="shared" ca="1" si="30"/>
        <v/>
      </c>
      <c r="Q49" s="94" t="str">
        <f t="shared" ca="1" si="31"/>
        <v/>
      </c>
      <c r="R49" s="94" t="str">
        <f t="shared" ca="1" si="32"/>
        <v/>
      </c>
      <c r="S49" s="94" t="str">
        <f t="shared" ca="1" si="33"/>
        <v/>
      </c>
      <c r="T49" s="94" t="str">
        <f t="shared" ca="1" si="34"/>
        <v/>
      </c>
      <c r="U49" s="34"/>
      <c r="V49" s="94" t="str">
        <f t="shared" ca="1" si="35"/>
        <v/>
      </c>
      <c r="W49" s="34" t="str">
        <f t="shared" ca="1" si="36"/>
        <v/>
      </c>
      <c r="X49" s="34" t="str">
        <f t="shared" ca="1" si="37"/>
        <v/>
      </c>
      <c r="Y49" s="34" t="str">
        <f t="shared" ca="1" si="38"/>
        <v/>
      </c>
      <c r="Z49" s="34" t="str">
        <f t="shared" ca="1" si="39"/>
        <v/>
      </c>
      <c r="AA49" s="34"/>
      <c r="AB49" s="34" t="str">
        <f t="shared" ca="1" si="40"/>
        <v/>
      </c>
      <c r="AC49" s="34" t="str">
        <f ca="1">IF(ISNUMBER(D49), AB49*(Return), "")</f>
        <v/>
      </c>
      <c r="AD49" s="34" t="str">
        <f t="shared" ca="1" si="41"/>
        <v/>
      </c>
      <c r="AE49" s="34" t="str">
        <f t="shared" ca="1" si="42"/>
        <v/>
      </c>
    </row>
    <row r="50" spans="3:31" x14ac:dyDescent="0.25">
      <c r="C50" t="str">
        <f t="shared" ca="1" si="25"/>
        <v/>
      </c>
      <c r="D50" t="str">
        <f t="shared" ca="1" si="7"/>
        <v/>
      </c>
      <c r="E50" s="34" t="str">
        <f ca="1">IF(ISNUMBER(D50), E49*(1+Inflation+Productivity), "")</f>
        <v/>
      </c>
      <c r="F50" s="34" t="str">
        <f t="shared" ca="1" si="26"/>
        <v/>
      </c>
      <c r="G50" s="109" t="str">
        <f t="shared" ca="1" si="27"/>
        <v/>
      </c>
      <c r="H50" s="34"/>
      <c r="I50" s="34"/>
      <c r="J50" s="34"/>
      <c r="K50" s="34" t="str">
        <f ca="1">IF(ISNUMBER(D50), MIN(0.0188*E50, 0.0188*47400*(1+Inflation)^(D50-Current_Age)), "")</f>
        <v/>
      </c>
      <c r="L50" s="34" t="str">
        <f t="shared" ca="1" si="28"/>
        <v/>
      </c>
      <c r="M50" s="34"/>
      <c r="N50" s="34" t="str">
        <f t="shared" ca="1" si="29"/>
        <v/>
      </c>
      <c r="O50" s="34"/>
      <c r="P50" s="94" t="str">
        <f t="shared" ca="1" si="30"/>
        <v/>
      </c>
      <c r="Q50" s="94" t="str">
        <f t="shared" ca="1" si="31"/>
        <v/>
      </c>
      <c r="R50" s="94" t="str">
        <f t="shared" ca="1" si="32"/>
        <v/>
      </c>
      <c r="S50" s="94" t="str">
        <f t="shared" ca="1" si="33"/>
        <v/>
      </c>
      <c r="T50" s="94" t="str">
        <f t="shared" ca="1" si="34"/>
        <v/>
      </c>
      <c r="U50" s="34"/>
      <c r="V50" s="94" t="str">
        <f t="shared" ca="1" si="35"/>
        <v/>
      </c>
      <c r="W50" s="34" t="str">
        <f t="shared" ca="1" si="36"/>
        <v/>
      </c>
      <c r="X50" s="34" t="str">
        <f t="shared" ca="1" si="37"/>
        <v/>
      </c>
      <c r="Y50" s="34" t="str">
        <f t="shared" ca="1" si="38"/>
        <v/>
      </c>
      <c r="Z50" s="34" t="str">
        <f t="shared" ca="1" si="39"/>
        <v/>
      </c>
      <c r="AA50" s="34"/>
      <c r="AB50" s="34" t="str">
        <f t="shared" ca="1" si="40"/>
        <v/>
      </c>
      <c r="AC50" s="34" t="str">
        <f ca="1">IF(ISNUMBER(D50), AB50*(Return), "")</f>
        <v/>
      </c>
      <c r="AD50" s="34" t="str">
        <f t="shared" ca="1" si="41"/>
        <v/>
      </c>
      <c r="AE50" s="34" t="str">
        <f t="shared" ca="1" si="42"/>
        <v/>
      </c>
    </row>
    <row r="51" spans="3:31" x14ac:dyDescent="0.25">
      <c r="C51" t="str">
        <f t="shared" ca="1" si="25"/>
        <v/>
      </c>
      <c r="D51" t="str">
        <f t="shared" ca="1" si="7"/>
        <v/>
      </c>
      <c r="E51" s="34" t="str">
        <f ca="1">IF(ISNUMBER(D51), E50*(1+Inflation+Productivity), "")</f>
        <v/>
      </c>
      <c r="F51" s="34" t="str">
        <f t="shared" ca="1" si="26"/>
        <v/>
      </c>
      <c r="G51" s="109" t="str">
        <f t="shared" ca="1" si="27"/>
        <v/>
      </c>
      <c r="H51" s="34"/>
      <c r="I51" s="34"/>
      <c r="J51" s="34"/>
      <c r="K51" s="34" t="str">
        <f ca="1">IF(ISNUMBER(D51), MIN(0.0188*E51, 0.0188*47400*(1+Inflation)^(D51-Current_Age)), "")</f>
        <v/>
      </c>
      <c r="L51" s="34" t="str">
        <f t="shared" ca="1" si="28"/>
        <v/>
      </c>
      <c r="M51" s="34"/>
      <c r="N51" s="34" t="str">
        <f t="shared" ca="1" si="29"/>
        <v/>
      </c>
      <c r="O51" s="34"/>
      <c r="P51" s="94" t="str">
        <f t="shared" ca="1" si="30"/>
        <v/>
      </c>
      <c r="Q51" s="94" t="str">
        <f t="shared" ca="1" si="31"/>
        <v/>
      </c>
      <c r="R51" s="94" t="str">
        <f t="shared" ca="1" si="32"/>
        <v/>
      </c>
      <c r="S51" s="94" t="str">
        <f t="shared" ca="1" si="33"/>
        <v/>
      </c>
      <c r="T51" s="94" t="str">
        <f t="shared" ca="1" si="34"/>
        <v/>
      </c>
      <c r="U51" s="34"/>
      <c r="V51" s="94" t="str">
        <f t="shared" ca="1" si="35"/>
        <v/>
      </c>
      <c r="W51" s="34" t="str">
        <f t="shared" ca="1" si="36"/>
        <v/>
      </c>
      <c r="X51" s="34" t="str">
        <f t="shared" ca="1" si="37"/>
        <v/>
      </c>
      <c r="Y51" s="34" t="str">
        <f t="shared" ca="1" si="38"/>
        <v/>
      </c>
      <c r="Z51" s="34" t="str">
        <f t="shared" ca="1" si="39"/>
        <v/>
      </c>
      <c r="AA51" s="34"/>
      <c r="AB51" s="34" t="str">
        <f t="shared" ca="1" si="40"/>
        <v/>
      </c>
      <c r="AC51" s="34" t="str">
        <f ca="1">IF(ISNUMBER(D51), AB51*(Return), "")</f>
        <v/>
      </c>
      <c r="AD51" s="34" t="str">
        <f t="shared" ca="1" si="41"/>
        <v/>
      </c>
      <c r="AE51" s="34" t="str">
        <f t="shared" ca="1" si="42"/>
        <v/>
      </c>
    </row>
    <row r="52" spans="3:31" x14ac:dyDescent="0.25">
      <c r="C52" t="str">
        <f t="shared" ca="1" si="25"/>
        <v/>
      </c>
      <c r="D52" t="str">
        <f t="shared" ca="1" si="7"/>
        <v/>
      </c>
      <c r="E52" s="34" t="str">
        <f ca="1">IF(ISNUMBER(D52), E51*(1+Inflation+Productivity), "")</f>
        <v/>
      </c>
      <c r="F52" s="34" t="str">
        <f t="shared" ca="1" si="26"/>
        <v/>
      </c>
      <c r="G52" s="109" t="str">
        <f t="shared" ca="1" si="27"/>
        <v/>
      </c>
      <c r="H52" s="34"/>
      <c r="I52" s="34"/>
      <c r="J52" s="34"/>
      <c r="K52" s="34" t="str">
        <f ca="1">IF(ISNUMBER(D52), MIN(0.0188*E52, 0.0188*47400*(1+Inflation)^(D52-Current_Age)), "")</f>
        <v/>
      </c>
      <c r="L52" s="34" t="str">
        <f t="shared" ca="1" si="28"/>
        <v/>
      </c>
      <c r="M52" s="34"/>
      <c r="N52" s="34" t="str">
        <f t="shared" ca="1" si="29"/>
        <v/>
      </c>
      <c r="O52" s="34"/>
      <c r="P52" s="94" t="str">
        <f t="shared" ca="1" si="30"/>
        <v/>
      </c>
      <c r="Q52" s="94" t="str">
        <f t="shared" ca="1" si="31"/>
        <v/>
      </c>
      <c r="R52" s="94" t="str">
        <f t="shared" ca="1" si="32"/>
        <v/>
      </c>
      <c r="S52" s="94" t="str">
        <f t="shared" ca="1" si="33"/>
        <v/>
      </c>
      <c r="T52" s="94" t="str">
        <f t="shared" ca="1" si="34"/>
        <v/>
      </c>
      <c r="U52" s="34"/>
      <c r="V52" s="94" t="str">
        <f t="shared" ca="1" si="35"/>
        <v/>
      </c>
      <c r="W52" s="34" t="str">
        <f t="shared" ca="1" si="36"/>
        <v/>
      </c>
      <c r="X52" s="34" t="str">
        <f t="shared" ca="1" si="37"/>
        <v/>
      </c>
      <c r="Y52" s="34" t="str">
        <f t="shared" ca="1" si="38"/>
        <v/>
      </c>
      <c r="Z52" s="34" t="str">
        <f t="shared" ca="1" si="39"/>
        <v/>
      </c>
      <c r="AA52" s="34"/>
      <c r="AB52" s="34" t="str">
        <f t="shared" ca="1" si="40"/>
        <v/>
      </c>
      <c r="AC52" s="34" t="str">
        <f ca="1">IF(ISNUMBER(D52), AB52*(Return), "")</f>
        <v/>
      </c>
      <c r="AD52" s="34" t="str">
        <f t="shared" ca="1" si="41"/>
        <v/>
      </c>
      <c r="AE52" s="34" t="str">
        <f t="shared" ca="1" si="42"/>
        <v/>
      </c>
    </row>
    <row r="53" spans="3:31" x14ac:dyDescent="0.25">
      <c r="C53" t="str">
        <f t="shared" ca="1" si="25"/>
        <v/>
      </c>
      <c r="D53" t="str">
        <f t="shared" ca="1" si="7"/>
        <v/>
      </c>
      <c r="E53" s="34" t="str">
        <f ca="1">IF(ISNUMBER(D53), E52*(1+Inflation+Productivity), "")</f>
        <v/>
      </c>
      <c r="F53" s="34" t="str">
        <f t="shared" ca="1" si="26"/>
        <v/>
      </c>
      <c r="G53" s="109" t="str">
        <f t="shared" ca="1" si="27"/>
        <v/>
      </c>
      <c r="H53" s="34"/>
      <c r="I53" s="34"/>
      <c r="J53" s="34"/>
      <c r="K53" s="34" t="str">
        <f ca="1">IF(ISNUMBER(D53), MIN(0.0188*E53, 0.0188*47400*(1+Inflation)^(D53-Current_Age)), "")</f>
        <v/>
      </c>
      <c r="L53" s="34" t="str">
        <f t="shared" ca="1" si="28"/>
        <v/>
      </c>
      <c r="M53" s="34"/>
      <c r="N53" s="34" t="str">
        <f t="shared" ca="1" si="29"/>
        <v/>
      </c>
      <c r="O53" s="34"/>
      <c r="P53" s="94" t="str">
        <f t="shared" ca="1" si="30"/>
        <v/>
      </c>
      <c r="Q53" s="94" t="str">
        <f t="shared" ca="1" si="31"/>
        <v/>
      </c>
      <c r="R53" s="94" t="str">
        <f t="shared" ca="1" si="32"/>
        <v/>
      </c>
      <c r="S53" s="94" t="str">
        <f t="shared" ca="1" si="33"/>
        <v/>
      </c>
      <c r="T53" s="94" t="str">
        <f t="shared" ca="1" si="34"/>
        <v/>
      </c>
      <c r="U53" s="34"/>
      <c r="V53" s="94" t="str">
        <f t="shared" ca="1" si="35"/>
        <v/>
      </c>
      <c r="W53" s="34" t="str">
        <f t="shared" ca="1" si="36"/>
        <v/>
      </c>
      <c r="X53" s="34" t="str">
        <f t="shared" ca="1" si="37"/>
        <v/>
      </c>
      <c r="Y53" s="34" t="str">
        <f t="shared" ca="1" si="38"/>
        <v/>
      </c>
      <c r="Z53" s="34" t="str">
        <f t="shared" ca="1" si="39"/>
        <v/>
      </c>
      <c r="AA53" s="34"/>
      <c r="AB53" s="34" t="str">
        <f t="shared" ca="1" si="40"/>
        <v/>
      </c>
      <c r="AC53" s="34" t="str">
        <f ca="1">IF(ISNUMBER(D53), AB53*(Return), "")</f>
        <v/>
      </c>
      <c r="AD53" s="34" t="str">
        <f t="shared" ca="1" si="41"/>
        <v/>
      </c>
      <c r="AE53" s="34" t="str">
        <f t="shared" ca="1" si="42"/>
        <v/>
      </c>
    </row>
    <row r="54" spans="3:31" x14ac:dyDescent="0.25">
      <c r="C54" t="str">
        <f t="shared" ca="1" si="25"/>
        <v/>
      </c>
      <c r="D54" t="str">
        <f t="shared" ca="1" si="7"/>
        <v/>
      </c>
      <c r="E54" s="34" t="str">
        <f ca="1">IF(ISNUMBER(D54), E53*(1+Inflation+Productivity), "")</f>
        <v/>
      </c>
      <c r="F54" s="34" t="str">
        <f t="shared" ca="1" si="26"/>
        <v/>
      </c>
      <c r="G54" s="109" t="str">
        <f t="shared" ca="1" si="27"/>
        <v/>
      </c>
      <c r="H54" s="34"/>
      <c r="I54" s="34"/>
      <c r="J54" s="34"/>
      <c r="K54" s="34" t="str">
        <f ca="1">IF(ISNUMBER(D54), MIN(0.0188*E54, 0.0188*47400*(1+Inflation)^(D54-Current_Age)), "")</f>
        <v/>
      </c>
      <c r="L54" s="34" t="str">
        <f t="shared" ca="1" si="28"/>
        <v/>
      </c>
      <c r="M54" s="34"/>
      <c r="N54" s="34" t="str">
        <f t="shared" ca="1" si="29"/>
        <v/>
      </c>
      <c r="O54" s="34"/>
      <c r="P54" s="94" t="str">
        <f t="shared" ca="1" si="30"/>
        <v/>
      </c>
      <c r="Q54" s="94" t="str">
        <f t="shared" ca="1" si="31"/>
        <v/>
      </c>
      <c r="R54" s="94" t="str">
        <f t="shared" ca="1" si="32"/>
        <v/>
      </c>
      <c r="S54" s="94" t="str">
        <f t="shared" ca="1" si="33"/>
        <v/>
      </c>
      <c r="T54" s="94" t="str">
        <f t="shared" ca="1" si="34"/>
        <v/>
      </c>
      <c r="U54" s="34"/>
      <c r="V54" s="94" t="str">
        <f t="shared" ca="1" si="35"/>
        <v/>
      </c>
      <c r="W54" s="34" t="str">
        <f t="shared" ca="1" si="36"/>
        <v/>
      </c>
      <c r="X54" s="34" t="str">
        <f t="shared" ca="1" si="37"/>
        <v/>
      </c>
      <c r="Y54" s="34" t="str">
        <f t="shared" ca="1" si="38"/>
        <v/>
      </c>
      <c r="Z54" s="34" t="str">
        <f t="shared" ca="1" si="39"/>
        <v/>
      </c>
      <c r="AA54" s="34"/>
      <c r="AB54" s="34" t="str">
        <f t="shared" ca="1" si="40"/>
        <v/>
      </c>
      <c r="AC54" s="34" t="str">
        <f ca="1">IF(ISNUMBER(D54), AB54*(Return), "")</f>
        <v/>
      </c>
      <c r="AD54" s="34" t="str">
        <f t="shared" ca="1" si="41"/>
        <v/>
      </c>
      <c r="AE54" s="34" t="str">
        <f t="shared" ca="1" si="42"/>
        <v/>
      </c>
    </row>
    <row r="55" spans="3:31" x14ac:dyDescent="0.25">
      <c r="C55" t="str">
        <f t="shared" ca="1" si="25"/>
        <v/>
      </c>
      <c r="D55" t="str">
        <f t="shared" ca="1" si="7"/>
        <v/>
      </c>
      <c r="E55" s="34" t="str">
        <f ca="1">IF(ISNUMBER(D55), E54*(1+Inflation+Productivity), "")</f>
        <v/>
      </c>
      <c r="F55" s="34" t="str">
        <f t="shared" ca="1" si="26"/>
        <v/>
      </c>
      <c r="G55" s="109" t="str">
        <f t="shared" ca="1" si="27"/>
        <v/>
      </c>
      <c r="H55" s="34"/>
      <c r="I55" s="34"/>
      <c r="J55" s="34"/>
      <c r="K55" s="34" t="str">
        <f ca="1">IF(ISNUMBER(D55), MIN(0.0188*E55, 0.0188*47400*(1+Inflation)^(D55-Current_Age)), "")</f>
        <v/>
      </c>
      <c r="L55" s="34" t="str">
        <f t="shared" ca="1" si="28"/>
        <v/>
      </c>
      <c r="M55" s="34"/>
      <c r="N55" s="34" t="str">
        <f t="shared" ca="1" si="29"/>
        <v/>
      </c>
      <c r="O55" s="34"/>
      <c r="P55" s="94" t="str">
        <f t="shared" ca="1" si="30"/>
        <v/>
      </c>
      <c r="Q55" s="94" t="str">
        <f t="shared" ca="1" si="31"/>
        <v/>
      </c>
      <c r="R55" s="94" t="str">
        <f t="shared" ca="1" si="32"/>
        <v/>
      </c>
      <c r="S55" s="94" t="str">
        <f t="shared" ca="1" si="33"/>
        <v/>
      </c>
      <c r="T55" s="94" t="str">
        <f t="shared" ca="1" si="34"/>
        <v/>
      </c>
      <c r="U55" s="34"/>
      <c r="V55" s="94" t="str">
        <f t="shared" ca="1" si="35"/>
        <v/>
      </c>
      <c r="W55" s="34" t="str">
        <f t="shared" ca="1" si="36"/>
        <v/>
      </c>
      <c r="X55" s="34" t="str">
        <f t="shared" ca="1" si="37"/>
        <v/>
      </c>
      <c r="Y55" s="34" t="str">
        <f t="shared" ca="1" si="38"/>
        <v/>
      </c>
      <c r="Z55" s="34" t="str">
        <f t="shared" ca="1" si="39"/>
        <v/>
      </c>
      <c r="AA55" s="34"/>
      <c r="AB55" s="34" t="str">
        <f t="shared" ca="1" si="40"/>
        <v/>
      </c>
      <c r="AC55" s="34" t="str">
        <f ca="1">IF(ISNUMBER(D55), AB55*(Return), "")</f>
        <v/>
      </c>
      <c r="AD55" s="34" t="str">
        <f t="shared" ca="1" si="41"/>
        <v/>
      </c>
      <c r="AE55" s="34" t="str">
        <f t="shared" ca="1" si="42"/>
        <v/>
      </c>
    </row>
    <row r="56" spans="3:31" x14ac:dyDescent="0.25">
      <c r="C56" t="str">
        <f t="shared" ca="1" si="25"/>
        <v/>
      </c>
      <c r="D56" t="str">
        <f t="shared" ca="1" si="7"/>
        <v/>
      </c>
      <c r="E56" s="34" t="str">
        <f ca="1">IF(ISNUMBER(D56), E55*(1+Inflation+Productivity), "")</f>
        <v/>
      </c>
      <c r="F56" s="34" t="str">
        <f t="shared" ca="1" si="26"/>
        <v/>
      </c>
      <c r="G56" s="109" t="str">
        <f t="shared" ca="1" si="27"/>
        <v/>
      </c>
      <c r="H56" s="34"/>
      <c r="I56" s="34"/>
      <c r="J56" s="34"/>
      <c r="K56" s="34" t="str">
        <f ca="1">IF(ISNUMBER(D56), MIN(0.0188*E56, 0.0188*47400*(1+Inflation)^(D56-Current_Age)), "")</f>
        <v/>
      </c>
      <c r="L56" s="34" t="str">
        <f t="shared" ca="1" si="28"/>
        <v/>
      </c>
      <c r="M56" s="34"/>
      <c r="N56" s="34" t="str">
        <f t="shared" ca="1" si="29"/>
        <v/>
      </c>
      <c r="O56" s="34"/>
      <c r="P56" s="94" t="str">
        <f t="shared" ca="1" si="30"/>
        <v/>
      </c>
      <c r="Q56" s="94" t="str">
        <f t="shared" ca="1" si="31"/>
        <v/>
      </c>
      <c r="R56" s="94" t="str">
        <f t="shared" ca="1" si="32"/>
        <v/>
      </c>
      <c r="S56" s="94" t="str">
        <f t="shared" ca="1" si="33"/>
        <v/>
      </c>
      <c r="T56" s="94" t="str">
        <f t="shared" ca="1" si="34"/>
        <v/>
      </c>
      <c r="U56" s="34"/>
      <c r="V56" s="94" t="str">
        <f t="shared" ca="1" si="35"/>
        <v/>
      </c>
      <c r="W56" s="34" t="str">
        <f t="shared" ca="1" si="36"/>
        <v/>
      </c>
      <c r="X56" s="34" t="str">
        <f t="shared" ca="1" si="37"/>
        <v/>
      </c>
      <c r="Y56" s="34" t="str">
        <f t="shared" ca="1" si="38"/>
        <v/>
      </c>
      <c r="Z56" s="34" t="str">
        <f t="shared" ca="1" si="39"/>
        <v/>
      </c>
      <c r="AA56" s="34"/>
      <c r="AB56" s="34" t="str">
        <f t="shared" ca="1" si="40"/>
        <v/>
      </c>
      <c r="AC56" s="34" t="str">
        <f ca="1">IF(ISNUMBER(D56), AB56*(Return), "")</f>
        <v/>
      </c>
      <c r="AD56" s="34" t="str">
        <f t="shared" ca="1" si="41"/>
        <v/>
      </c>
      <c r="AE56" s="34" t="str">
        <f t="shared" ca="1" si="42"/>
        <v/>
      </c>
    </row>
    <row r="57" spans="3:31" x14ac:dyDescent="0.25">
      <c r="C57" t="str">
        <f t="shared" ca="1" si="25"/>
        <v/>
      </c>
      <c r="D57" t="str">
        <f t="shared" ca="1" si="7"/>
        <v/>
      </c>
      <c r="E57" s="34" t="str">
        <f ca="1">IF(ISNUMBER(D57), E56*(1+Inflation+Productivity), "")</f>
        <v/>
      </c>
      <c r="F57" s="34" t="str">
        <f t="shared" ca="1" si="26"/>
        <v/>
      </c>
      <c r="G57" s="109" t="str">
        <f t="shared" ca="1" si="27"/>
        <v/>
      </c>
      <c r="H57" s="34"/>
      <c r="I57" s="34"/>
      <c r="J57" s="34"/>
      <c r="K57" s="34" t="str">
        <f ca="1">IF(ISNUMBER(D57), MIN(0.0188*E57, 0.0188*47400*(1+Inflation)^(D57-Current_Age)), "")</f>
        <v/>
      </c>
      <c r="L57" s="34" t="str">
        <f t="shared" ca="1" si="28"/>
        <v/>
      </c>
      <c r="M57" s="34"/>
      <c r="N57" s="34" t="str">
        <f t="shared" ca="1" si="29"/>
        <v/>
      </c>
      <c r="O57" s="34"/>
      <c r="P57" s="94" t="str">
        <f t="shared" ca="1" si="30"/>
        <v/>
      </c>
      <c r="Q57" s="94" t="str">
        <f t="shared" ca="1" si="31"/>
        <v/>
      </c>
      <c r="R57" s="94" t="str">
        <f t="shared" ca="1" si="32"/>
        <v/>
      </c>
      <c r="S57" s="94" t="str">
        <f t="shared" ca="1" si="33"/>
        <v/>
      </c>
      <c r="T57" s="94" t="str">
        <f t="shared" ca="1" si="34"/>
        <v/>
      </c>
      <c r="U57" s="34"/>
      <c r="V57" s="94" t="str">
        <f t="shared" ca="1" si="35"/>
        <v/>
      </c>
      <c r="W57" s="34" t="str">
        <f t="shared" ca="1" si="36"/>
        <v/>
      </c>
      <c r="X57" s="34" t="str">
        <f t="shared" ca="1" si="37"/>
        <v/>
      </c>
      <c r="Y57" s="34" t="str">
        <f t="shared" ca="1" si="38"/>
        <v/>
      </c>
      <c r="Z57" s="34" t="str">
        <f t="shared" ca="1" si="39"/>
        <v/>
      </c>
      <c r="AA57" s="34"/>
      <c r="AB57" s="34" t="str">
        <f t="shared" ca="1" si="40"/>
        <v/>
      </c>
      <c r="AC57" s="34" t="str">
        <f ca="1">IF(ISNUMBER(D57), AB57*(Return), "")</f>
        <v/>
      </c>
      <c r="AD57" s="34" t="str">
        <f t="shared" ca="1" si="41"/>
        <v/>
      </c>
      <c r="AE57" s="34" t="str">
        <f t="shared" ca="1" si="42"/>
        <v/>
      </c>
    </row>
    <row r="58" spans="3:31" x14ac:dyDescent="0.25">
      <c r="C58" t="str">
        <f t="shared" ca="1" si="25"/>
        <v/>
      </c>
      <c r="D58" t="str">
        <f t="shared" ca="1" si="7"/>
        <v/>
      </c>
      <c r="E58" s="34" t="str">
        <f ca="1">IF(ISNUMBER(D58), E57*(1+Inflation+Productivity), "")</f>
        <v/>
      </c>
      <c r="F58" s="34" t="str">
        <f t="shared" ca="1" si="26"/>
        <v/>
      </c>
      <c r="G58" s="109" t="str">
        <f t="shared" ca="1" si="27"/>
        <v/>
      </c>
      <c r="H58" s="34"/>
      <c r="I58" s="34"/>
      <c r="J58" s="34"/>
      <c r="K58" s="34" t="str">
        <f ca="1">IF(ISNUMBER(D58), MIN(0.0188*E58, 0.0188*47400*(1+Inflation)^(D58-Current_Age)), "")</f>
        <v/>
      </c>
      <c r="L58" s="34" t="str">
        <f t="shared" ca="1" si="28"/>
        <v/>
      </c>
      <c r="M58" s="34"/>
      <c r="N58" s="34" t="str">
        <f t="shared" ca="1" si="29"/>
        <v/>
      </c>
      <c r="O58" s="34"/>
      <c r="P58" s="94" t="str">
        <f t="shared" ca="1" si="30"/>
        <v/>
      </c>
      <c r="Q58" s="94" t="str">
        <f t="shared" ca="1" si="31"/>
        <v/>
      </c>
      <c r="R58" s="94" t="str">
        <f t="shared" ca="1" si="32"/>
        <v/>
      </c>
      <c r="S58" s="94" t="str">
        <f t="shared" ca="1" si="33"/>
        <v/>
      </c>
      <c r="T58" s="94" t="str">
        <f t="shared" ca="1" si="34"/>
        <v/>
      </c>
      <c r="U58" s="34"/>
      <c r="V58" s="94" t="str">
        <f t="shared" ca="1" si="35"/>
        <v/>
      </c>
      <c r="W58" s="34" t="str">
        <f t="shared" ca="1" si="36"/>
        <v/>
      </c>
      <c r="X58" s="34" t="str">
        <f t="shared" ca="1" si="37"/>
        <v/>
      </c>
      <c r="Y58" s="34" t="str">
        <f t="shared" ca="1" si="38"/>
        <v/>
      </c>
      <c r="Z58" s="34" t="str">
        <f t="shared" ca="1" si="39"/>
        <v/>
      </c>
      <c r="AA58" s="34"/>
      <c r="AB58" s="34" t="str">
        <f t="shared" ca="1" si="40"/>
        <v/>
      </c>
      <c r="AC58" s="34" t="str">
        <f ca="1">IF(ISNUMBER(D58), AB58*(Return), "")</f>
        <v/>
      </c>
      <c r="AD58" s="34" t="str">
        <f t="shared" ca="1" si="41"/>
        <v/>
      </c>
      <c r="AE58" s="34" t="str">
        <f t="shared" ca="1" si="42"/>
        <v/>
      </c>
    </row>
    <row r="59" spans="3:31" x14ac:dyDescent="0.25">
      <c r="C59" t="str">
        <f t="shared" ca="1" si="25"/>
        <v/>
      </c>
      <c r="D59" t="str">
        <f t="shared" ca="1" si="7"/>
        <v/>
      </c>
      <c r="E59" s="34" t="str">
        <f ca="1">IF(ISNUMBER(D59), E58*(1+Inflation+Productivity), "")</f>
        <v/>
      </c>
      <c r="F59" s="34" t="str">
        <f t="shared" ca="1" si="26"/>
        <v/>
      </c>
      <c r="G59" s="109" t="str">
        <f t="shared" ca="1" si="27"/>
        <v/>
      </c>
      <c r="H59" s="34"/>
      <c r="I59" s="34"/>
      <c r="J59" s="34"/>
      <c r="K59" s="34" t="str">
        <f ca="1">IF(ISNUMBER(D59), MIN(0.0188*E59, 0.0188*47400*(1+Inflation)^(D59-Current_Age)), "")</f>
        <v/>
      </c>
      <c r="L59" s="34" t="str">
        <f t="shared" ca="1" si="28"/>
        <v/>
      </c>
      <c r="M59" s="34"/>
      <c r="N59" s="34" t="str">
        <f t="shared" ca="1" si="29"/>
        <v/>
      </c>
      <c r="O59" s="34"/>
      <c r="P59" s="94" t="str">
        <f t="shared" ca="1" si="30"/>
        <v/>
      </c>
      <c r="Q59" s="94" t="str">
        <f t="shared" ca="1" si="31"/>
        <v/>
      </c>
      <c r="R59" s="94" t="str">
        <f t="shared" ca="1" si="32"/>
        <v/>
      </c>
      <c r="S59" s="94" t="str">
        <f t="shared" ca="1" si="33"/>
        <v/>
      </c>
      <c r="T59" s="94" t="str">
        <f t="shared" ca="1" si="34"/>
        <v/>
      </c>
      <c r="U59" s="34"/>
      <c r="V59" s="94" t="str">
        <f t="shared" ca="1" si="35"/>
        <v/>
      </c>
      <c r="W59" s="34" t="str">
        <f t="shared" ca="1" si="36"/>
        <v/>
      </c>
      <c r="X59" s="34" t="str">
        <f t="shared" ca="1" si="37"/>
        <v/>
      </c>
      <c r="Y59" s="34" t="str">
        <f t="shared" ca="1" si="38"/>
        <v/>
      </c>
      <c r="Z59" s="34" t="str">
        <f t="shared" ca="1" si="39"/>
        <v/>
      </c>
      <c r="AA59" s="34"/>
      <c r="AB59" s="34" t="str">
        <f t="shared" ca="1" si="40"/>
        <v/>
      </c>
      <c r="AC59" s="34" t="str">
        <f ca="1">IF(ISNUMBER(D59), AB59*(Return), "")</f>
        <v/>
      </c>
      <c r="AD59" s="34" t="str">
        <f t="shared" ca="1" si="41"/>
        <v/>
      </c>
      <c r="AE59" s="34" t="str">
        <f t="shared" ca="1" si="42"/>
        <v/>
      </c>
    </row>
    <row r="60" spans="3:31" x14ac:dyDescent="0.25">
      <c r="C60" t="str">
        <f t="shared" ca="1" si="25"/>
        <v/>
      </c>
      <c r="D60" t="str">
        <f t="shared" ca="1" si="7"/>
        <v/>
      </c>
      <c r="E60" s="34" t="str">
        <f ca="1">IF(ISNUMBER(D60), E59*(1+Inflation+Productivity), "")</f>
        <v/>
      </c>
      <c r="F60" s="34" t="str">
        <f t="shared" ca="1" si="26"/>
        <v/>
      </c>
      <c r="G60" s="109" t="str">
        <f t="shared" ca="1" si="27"/>
        <v/>
      </c>
      <c r="H60" s="34"/>
      <c r="I60" s="34"/>
      <c r="J60" s="34"/>
      <c r="K60" s="34" t="str">
        <f ca="1">IF(ISNUMBER(D60), MIN(0.0188*E60, 0.0188*47400*(1+Inflation)^(D60-Current_Age)), "")</f>
        <v/>
      </c>
      <c r="L60" s="34" t="str">
        <f t="shared" ca="1" si="28"/>
        <v/>
      </c>
      <c r="M60" s="34"/>
      <c r="N60" s="34" t="str">
        <f t="shared" ca="1" si="29"/>
        <v/>
      </c>
      <c r="O60" s="34"/>
      <c r="P60" s="94" t="str">
        <f t="shared" ca="1" si="30"/>
        <v/>
      </c>
      <c r="Q60" s="94" t="str">
        <f t="shared" ca="1" si="31"/>
        <v/>
      </c>
      <c r="R60" s="94" t="str">
        <f t="shared" ca="1" si="32"/>
        <v/>
      </c>
      <c r="S60" s="94" t="str">
        <f t="shared" ca="1" si="33"/>
        <v/>
      </c>
      <c r="T60" s="94" t="str">
        <f t="shared" ca="1" si="34"/>
        <v/>
      </c>
      <c r="U60" s="34"/>
      <c r="V60" s="94" t="str">
        <f t="shared" ca="1" si="35"/>
        <v/>
      </c>
      <c r="W60" s="34" t="str">
        <f t="shared" ca="1" si="36"/>
        <v/>
      </c>
      <c r="X60" s="34" t="str">
        <f t="shared" ca="1" si="37"/>
        <v/>
      </c>
      <c r="Y60" s="34" t="str">
        <f t="shared" ca="1" si="38"/>
        <v/>
      </c>
      <c r="Z60" s="34" t="str">
        <f t="shared" ca="1" si="39"/>
        <v/>
      </c>
      <c r="AA60" s="34"/>
      <c r="AB60" s="34" t="str">
        <f t="shared" ca="1" si="40"/>
        <v/>
      </c>
      <c r="AC60" s="34" t="str">
        <f ca="1">IF(ISNUMBER(D60), AB60*(Return), "")</f>
        <v/>
      </c>
      <c r="AD60" s="34" t="str">
        <f t="shared" ca="1" si="41"/>
        <v/>
      </c>
      <c r="AE60" s="34" t="str">
        <f t="shared" ca="1" si="42"/>
        <v/>
      </c>
    </row>
    <row r="61" spans="3:31" x14ac:dyDescent="0.25">
      <c r="C61" t="str">
        <f t="shared" ca="1" si="25"/>
        <v/>
      </c>
      <c r="D61" t="str">
        <f t="shared" ca="1" si="7"/>
        <v/>
      </c>
      <c r="E61" s="34" t="str">
        <f ca="1">IF(ISNUMBER(D61), E60*(1+Inflation+Productivity), "")</f>
        <v/>
      </c>
      <c r="F61" s="34" t="str">
        <f t="shared" ca="1" si="26"/>
        <v/>
      </c>
      <c r="G61" s="109" t="str">
        <f t="shared" ca="1" si="27"/>
        <v/>
      </c>
      <c r="H61" s="34"/>
      <c r="I61" s="34"/>
      <c r="J61" s="34"/>
      <c r="K61" s="34" t="str">
        <f ca="1">IF(ISNUMBER(D61), MIN(0.0188*E61, 0.0188*47400*(1+Inflation)^(D61-Current_Age)), "")</f>
        <v/>
      </c>
      <c r="L61" s="34" t="str">
        <f t="shared" ca="1" si="28"/>
        <v/>
      </c>
      <c r="M61" s="34"/>
      <c r="N61" s="34" t="str">
        <f t="shared" ca="1" si="29"/>
        <v/>
      </c>
      <c r="O61" s="34"/>
      <c r="P61" s="94" t="str">
        <f t="shared" ca="1" si="30"/>
        <v/>
      </c>
      <c r="Q61" s="94" t="str">
        <f t="shared" ca="1" si="31"/>
        <v/>
      </c>
      <c r="R61" s="94" t="str">
        <f t="shared" ca="1" si="32"/>
        <v/>
      </c>
      <c r="S61" s="94" t="str">
        <f t="shared" ca="1" si="33"/>
        <v/>
      </c>
      <c r="T61" s="94" t="str">
        <f t="shared" ca="1" si="34"/>
        <v/>
      </c>
      <c r="U61" s="34"/>
      <c r="V61" s="94" t="str">
        <f t="shared" ca="1" si="35"/>
        <v/>
      </c>
      <c r="W61" s="34" t="str">
        <f t="shared" ca="1" si="36"/>
        <v/>
      </c>
      <c r="X61" s="34" t="str">
        <f t="shared" ca="1" si="37"/>
        <v/>
      </c>
      <c r="Y61" s="34" t="str">
        <f t="shared" ca="1" si="38"/>
        <v/>
      </c>
      <c r="Z61" s="34" t="str">
        <f t="shared" ca="1" si="39"/>
        <v/>
      </c>
      <c r="AA61" s="34"/>
      <c r="AB61" s="34" t="str">
        <f t="shared" ca="1" si="40"/>
        <v/>
      </c>
      <c r="AC61" s="34" t="str">
        <f ca="1">IF(ISNUMBER(D61), AB61*(Return), "")</f>
        <v/>
      </c>
      <c r="AD61" s="34" t="str">
        <f t="shared" ca="1" si="41"/>
        <v/>
      </c>
      <c r="AE61" s="34" t="str">
        <f t="shared" ca="1" si="42"/>
        <v/>
      </c>
    </row>
    <row r="62" spans="3:31" x14ac:dyDescent="0.25">
      <c r="C62" t="str">
        <f t="shared" ca="1" si="25"/>
        <v/>
      </c>
      <c r="D62" t="str">
        <f t="shared" ca="1" si="7"/>
        <v/>
      </c>
      <c r="E62" s="34" t="str">
        <f ca="1">IF(ISNUMBER(D62), E61*(1+Inflation+Productivity), "")</f>
        <v/>
      </c>
      <c r="F62" s="34" t="str">
        <f t="shared" ca="1" si="26"/>
        <v/>
      </c>
      <c r="G62" s="109" t="str">
        <f t="shared" ca="1" si="27"/>
        <v/>
      </c>
      <c r="H62" s="34"/>
      <c r="I62" s="34"/>
      <c r="J62" s="34"/>
      <c r="K62" s="34" t="str">
        <f ca="1">IF(ISNUMBER(D62), MIN(0.0188*E62, 0.0188*47400*(1+Inflation)^(D62-Current_Age)), "")</f>
        <v/>
      </c>
      <c r="L62" s="34" t="str">
        <f t="shared" ca="1" si="28"/>
        <v/>
      </c>
      <c r="M62" s="34"/>
      <c r="N62" s="34" t="str">
        <f t="shared" ca="1" si="29"/>
        <v/>
      </c>
      <c r="O62" s="34"/>
      <c r="P62" s="94" t="str">
        <f t="shared" ca="1" si="30"/>
        <v/>
      </c>
      <c r="Q62" s="94" t="str">
        <f t="shared" ca="1" si="31"/>
        <v/>
      </c>
      <c r="R62" s="94" t="str">
        <f t="shared" ca="1" si="32"/>
        <v/>
      </c>
      <c r="S62" s="94" t="str">
        <f t="shared" ca="1" si="33"/>
        <v/>
      </c>
      <c r="T62" s="94" t="str">
        <f t="shared" ca="1" si="34"/>
        <v/>
      </c>
      <c r="U62" s="34"/>
      <c r="V62" s="94" t="str">
        <f t="shared" ca="1" si="35"/>
        <v/>
      </c>
      <c r="W62" s="34" t="str">
        <f t="shared" ca="1" si="36"/>
        <v/>
      </c>
      <c r="X62" s="34" t="str">
        <f t="shared" ca="1" si="37"/>
        <v/>
      </c>
      <c r="Y62" s="34" t="str">
        <f t="shared" ca="1" si="38"/>
        <v/>
      </c>
      <c r="Z62" s="34" t="str">
        <f t="shared" ca="1" si="39"/>
        <v/>
      </c>
      <c r="AA62" s="34"/>
      <c r="AB62" s="34" t="str">
        <f t="shared" ca="1" si="40"/>
        <v/>
      </c>
      <c r="AC62" s="34" t="str">
        <f ca="1">IF(ISNUMBER(D62), AB62*(Return), "")</f>
        <v/>
      </c>
      <c r="AD62" s="34" t="str">
        <f t="shared" ca="1" si="41"/>
        <v/>
      </c>
      <c r="AE62" s="34" t="str">
        <f t="shared" ca="1" si="42"/>
        <v/>
      </c>
    </row>
    <row r="63" spans="3:31" x14ac:dyDescent="0.25">
      <c r="C63" t="str">
        <f t="shared" ca="1" si="25"/>
        <v/>
      </c>
      <c r="D63" t="str">
        <f t="shared" ca="1" si="7"/>
        <v/>
      </c>
      <c r="E63" s="34" t="str">
        <f ca="1">IF(ISNUMBER(D63), E62*(1+Inflation+Productivity), "")</f>
        <v/>
      </c>
      <c r="F63" s="34" t="str">
        <f t="shared" ca="1" si="26"/>
        <v/>
      </c>
      <c r="G63" s="109" t="str">
        <f t="shared" ca="1" si="27"/>
        <v/>
      </c>
      <c r="H63" s="34"/>
      <c r="I63" s="34"/>
      <c r="J63" s="34"/>
      <c r="K63" s="34" t="str">
        <f ca="1">IF(ISNUMBER(D63), MIN(0.0188*E63, 0.0188*47400*(1+Inflation)^(D63-Current_Age)), "")</f>
        <v/>
      </c>
      <c r="L63" s="34" t="str">
        <f t="shared" ca="1" si="28"/>
        <v/>
      </c>
      <c r="M63" s="34"/>
      <c r="N63" s="34" t="str">
        <f t="shared" ca="1" si="29"/>
        <v/>
      </c>
      <c r="O63" s="34"/>
      <c r="P63" s="94" t="str">
        <f t="shared" ca="1" si="30"/>
        <v/>
      </c>
      <c r="Q63" s="94" t="str">
        <f t="shared" ca="1" si="31"/>
        <v/>
      </c>
      <c r="R63" s="94" t="str">
        <f t="shared" ca="1" si="32"/>
        <v/>
      </c>
      <c r="S63" s="94" t="str">
        <f t="shared" ca="1" si="33"/>
        <v/>
      </c>
      <c r="T63" s="94" t="str">
        <f t="shared" ca="1" si="34"/>
        <v/>
      </c>
      <c r="U63" s="34"/>
      <c r="V63" s="94" t="str">
        <f t="shared" ca="1" si="35"/>
        <v/>
      </c>
      <c r="W63" s="34" t="str">
        <f t="shared" ca="1" si="36"/>
        <v/>
      </c>
      <c r="X63" s="34" t="str">
        <f t="shared" ca="1" si="37"/>
        <v/>
      </c>
      <c r="Y63" s="34" t="str">
        <f t="shared" ca="1" si="38"/>
        <v/>
      </c>
      <c r="Z63" s="34" t="str">
        <f t="shared" ca="1" si="39"/>
        <v/>
      </c>
      <c r="AA63" s="34"/>
      <c r="AB63" s="34" t="str">
        <f t="shared" ca="1" si="40"/>
        <v/>
      </c>
      <c r="AC63" s="34" t="str">
        <f ca="1">IF(ISNUMBER(D63), AB63*(Return), "")</f>
        <v/>
      </c>
      <c r="AD63" s="34" t="str">
        <f t="shared" ca="1" si="41"/>
        <v/>
      </c>
      <c r="AE63" s="34" t="str">
        <f t="shared" ca="1" si="42"/>
        <v/>
      </c>
    </row>
    <row r="64" spans="3:31" x14ac:dyDescent="0.25">
      <c r="C64" t="str">
        <f t="shared" ca="1" si="25"/>
        <v/>
      </c>
      <c r="D64" t="str">
        <f t="shared" ca="1" si="7"/>
        <v/>
      </c>
      <c r="E64" s="34" t="str">
        <f ca="1">IF(ISNUMBER(D64), E63*(1+Inflation+Productivity), "")</f>
        <v/>
      </c>
      <c r="F64" s="34" t="str">
        <f t="shared" ca="1" si="26"/>
        <v/>
      </c>
      <c r="G64" s="109" t="str">
        <f t="shared" ca="1" si="27"/>
        <v/>
      </c>
      <c r="H64" s="34"/>
      <c r="I64" s="34"/>
      <c r="J64" s="34"/>
      <c r="K64" s="34" t="str">
        <f ca="1">IF(ISNUMBER(D64), MIN(0.0188*E64, 0.0188*47400*(1+Inflation)^(D64-Current_Age)), "")</f>
        <v/>
      </c>
      <c r="L64" s="34" t="str">
        <f t="shared" ca="1" si="28"/>
        <v/>
      </c>
      <c r="M64" s="34"/>
      <c r="N64" s="34" t="str">
        <f t="shared" ca="1" si="29"/>
        <v/>
      </c>
      <c r="O64" s="34"/>
      <c r="P64" s="94" t="str">
        <f t="shared" ca="1" si="30"/>
        <v/>
      </c>
      <c r="Q64" s="94" t="str">
        <f t="shared" ca="1" si="31"/>
        <v/>
      </c>
      <c r="R64" s="94" t="str">
        <f t="shared" ca="1" si="32"/>
        <v/>
      </c>
      <c r="S64" s="94" t="str">
        <f t="shared" ca="1" si="33"/>
        <v/>
      </c>
      <c r="T64" s="94" t="str">
        <f t="shared" ca="1" si="34"/>
        <v/>
      </c>
      <c r="U64" s="34"/>
      <c r="V64" s="94" t="str">
        <f t="shared" ca="1" si="35"/>
        <v/>
      </c>
      <c r="W64" s="34" t="str">
        <f t="shared" ca="1" si="36"/>
        <v/>
      </c>
      <c r="X64" s="34" t="str">
        <f t="shared" ca="1" si="37"/>
        <v/>
      </c>
      <c r="Y64" s="34" t="str">
        <f t="shared" ca="1" si="38"/>
        <v/>
      </c>
      <c r="Z64" s="34" t="str">
        <f t="shared" ca="1" si="39"/>
        <v/>
      </c>
      <c r="AA64" s="34"/>
      <c r="AB64" s="34" t="str">
        <f t="shared" ca="1" si="40"/>
        <v/>
      </c>
      <c r="AC64" s="34" t="str">
        <f ca="1">IF(ISNUMBER(D64), AB64*(Return), "")</f>
        <v/>
      </c>
      <c r="AD64" s="34" t="str">
        <f t="shared" ca="1" si="41"/>
        <v/>
      </c>
      <c r="AE64" s="34" t="str">
        <f t="shared" ca="1" si="42"/>
        <v/>
      </c>
    </row>
    <row r="65" spans="3:31" x14ac:dyDescent="0.25">
      <c r="C65" t="str">
        <f t="shared" ca="1" si="25"/>
        <v/>
      </c>
      <c r="D65" t="str">
        <f t="shared" ca="1" si="7"/>
        <v/>
      </c>
      <c r="E65" s="34" t="str">
        <f ca="1">IF(ISNUMBER(D65), E64*(1+Inflation+Productivity), "")</f>
        <v/>
      </c>
      <c r="F65" s="34" t="str">
        <f t="shared" ca="1" si="26"/>
        <v/>
      </c>
      <c r="G65" s="109" t="str">
        <f t="shared" ca="1" si="27"/>
        <v/>
      </c>
      <c r="H65" s="34"/>
      <c r="I65" s="34"/>
      <c r="J65" s="34"/>
      <c r="K65" s="34" t="str">
        <f ca="1">IF(ISNUMBER(D65), MIN(0.0188*E65, 0.0188*47400*(1+Inflation)^(D65-Current_Age)), "")</f>
        <v/>
      </c>
      <c r="L65" s="34" t="str">
        <f t="shared" ca="1" si="28"/>
        <v/>
      </c>
      <c r="M65" s="34"/>
      <c r="N65" s="34" t="str">
        <f t="shared" ca="1" si="29"/>
        <v/>
      </c>
      <c r="O65" s="34"/>
      <c r="P65" s="94" t="str">
        <f t="shared" ca="1" si="30"/>
        <v/>
      </c>
      <c r="Q65" s="94" t="str">
        <f t="shared" ca="1" si="31"/>
        <v/>
      </c>
      <c r="R65" s="94" t="str">
        <f t="shared" ca="1" si="32"/>
        <v/>
      </c>
      <c r="S65" s="94" t="str">
        <f t="shared" ca="1" si="33"/>
        <v/>
      </c>
      <c r="T65" s="94" t="str">
        <f t="shared" ca="1" si="34"/>
        <v/>
      </c>
      <c r="U65" s="34"/>
      <c r="V65" s="94" t="str">
        <f t="shared" ca="1" si="35"/>
        <v/>
      </c>
      <c r="W65" s="34" t="str">
        <f t="shared" ca="1" si="36"/>
        <v/>
      </c>
      <c r="X65" s="34" t="str">
        <f t="shared" ca="1" si="37"/>
        <v/>
      </c>
      <c r="Y65" s="34" t="str">
        <f t="shared" ca="1" si="38"/>
        <v/>
      </c>
      <c r="Z65" s="34" t="str">
        <f t="shared" ca="1" si="39"/>
        <v/>
      </c>
      <c r="AA65" s="34"/>
      <c r="AB65" s="34" t="str">
        <f t="shared" ca="1" si="40"/>
        <v/>
      </c>
      <c r="AC65" s="34" t="str">
        <f ca="1">IF(ISNUMBER(D65), AB65*(Return), "")</f>
        <v/>
      </c>
      <c r="AD65" s="34" t="str">
        <f t="shared" ca="1" si="41"/>
        <v/>
      </c>
      <c r="AE65" s="34" t="str">
        <f t="shared" ca="1" si="42"/>
        <v/>
      </c>
    </row>
    <row r="66" spans="3:31" x14ac:dyDescent="0.25">
      <c r="C66" t="str">
        <f t="shared" ca="1" si="25"/>
        <v/>
      </c>
      <c r="D66" t="str">
        <f t="shared" ca="1" si="7"/>
        <v/>
      </c>
      <c r="E66" s="34" t="str">
        <f ca="1">IF(ISNUMBER(D66), E65*(1+Inflation+Productivity), "")</f>
        <v/>
      </c>
      <c r="F66" s="34" t="str">
        <f t="shared" ca="1" si="26"/>
        <v/>
      </c>
      <c r="G66" s="109" t="str">
        <f t="shared" ca="1" si="27"/>
        <v/>
      </c>
      <c r="H66" s="34"/>
      <c r="I66" s="34"/>
      <c r="J66" s="34"/>
      <c r="K66" s="34" t="str">
        <f ca="1">IF(ISNUMBER(D66), MIN(0.0188*E66, 0.0188*47400*(1+Inflation)^(D66-Current_Age)), "")</f>
        <v/>
      </c>
      <c r="L66" s="34" t="str">
        <f t="shared" ca="1" si="28"/>
        <v/>
      </c>
      <c r="M66" s="34"/>
      <c r="N66" s="34" t="str">
        <f t="shared" ca="1" si="29"/>
        <v/>
      </c>
      <c r="O66" s="34"/>
      <c r="P66" s="94" t="str">
        <f t="shared" ca="1" si="30"/>
        <v/>
      </c>
      <c r="Q66" s="94" t="str">
        <f t="shared" ca="1" si="31"/>
        <v/>
      </c>
      <c r="R66" s="94" t="str">
        <f t="shared" ca="1" si="32"/>
        <v/>
      </c>
      <c r="S66" s="94" t="str">
        <f t="shared" ca="1" si="33"/>
        <v/>
      </c>
      <c r="T66" s="94" t="str">
        <f t="shared" ca="1" si="34"/>
        <v/>
      </c>
      <c r="U66" s="34"/>
      <c r="V66" s="94" t="str">
        <f t="shared" ca="1" si="35"/>
        <v/>
      </c>
      <c r="W66" s="34" t="str">
        <f t="shared" ca="1" si="36"/>
        <v/>
      </c>
      <c r="X66" s="34" t="str">
        <f t="shared" ca="1" si="37"/>
        <v/>
      </c>
      <c r="Y66" s="34" t="str">
        <f t="shared" ca="1" si="38"/>
        <v/>
      </c>
      <c r="Z66" s="34" t="str">
        <f t="shared" ca="1" si="39"/>
        <v/>
      </c>
      <c r="AA66" s="34"/>
      <c r="AB66" s="34" t="str">
        <f t="shared" ca="1" si="40"/>
        <v/>
      </c>
      <c r="AC66" s="34" t="str">
        <f ca="1">IF(ISNUMBER(D66), AB66*(Return), "")</f>
        <v/>
      </c>
      <c r="AD66" s="34" t="str">
        <f t="shared" ca="1" si="41"/>
        <v/>
      </c>
      <c r="AE66" s="34" t="str">
        <f t="shared" ca="1" si="42"/>
        <v/>
      </c>
    </row>
    <row r="67" spans="3:31" x14ac:dyDescent="0.25">
      <c r="C67" t="str">
        <f t="shared" ca="1" si="25"/>
        <v/>
      </c>
      <c r="D67" t="str">
        <f t="shared" ca="1" si="7"/>
        <v/>
      </c>
      <c r="E67" s="34" t="str">
        <f ca="1">IF(ISNUMBER(D67), E66*(1+Inflation+Productivity), "")</f>
        <v/>
      </c>
      <c r="F67" s="34" t="str">
        <f t="shared" ca="1" si="26"/>
        <v/>
      </c>
      <c r="G67" s="109" t="str">
        <f t="shared" ca="1" si="27"/>
        <v/>
      </c>
      <c r="H67" s="34"/>
      <c r="I67" s="34"/>
      <c r="J67" s="34"/>
      <c r="K67" s="34" t="str">
        <f ca="1">IF(ISNUMBER(D67), MIN(0.0188*E67, 0.0188*47400*(1+Inflation)^(D67-Current_Age)), "")</f>
        <v/>
      </c>
      <c r="L67" s="34" t="str">
        <f t="shared" ca="1" si="28"/>
        <v/>
      </c>
      <c r="M67" s="34"/>
      <c r="N67" s="34" t="str">
        <f t="shared" ca="1" si="29"/>
        <v/>
      </c>
      <c r="O67" s="34"/>
      <c r="P67" s="94" t="str">
        <f t="shared" ca="1" si="30"/>
        <v/>
      </c>
      <c r="Q67" s="94" t="str">
        <f t="shared" ca="1" si="31"/>
        <v/>
      </c>
      <c r="R67" s="94" t="str">
        <f t="shared" ca="1" si="32"/>
        <v/>
      </c>
      <c r="S67" s="94" t="str">
        <f t="shared" ca="1" si="33"/>
        <v/>
      </c>
      <c r="T67" s="94" t="str">
        <f t="shared" ca="1" si="34"/>
        <v/>
      </c>
      <c r="U67" s="34"/>
      <c r="V67" s="94" t="str">
        <f t="shared" ca="1" si="35"/>
        <v/>
      </c>
      <c r="W67" s="34" t="str">
        <f t="shared" ca="1" si="36"/>
        <v/>
      </c>
      <c r="X67" s="34" t="str">
        <f t="shared" ca="1" si="37"/>
        <v/>
      </c>
      <c r="Y67" s="34" t="str">
        <f t="shared" ca="1" si="38"/>
        <v/>
      </c>
      <c r="Z67" s="34" t="str">
        <f t="shared" ca="1" si="39"/>
        <v/>
      </c>
      <c r="AA67" s="34"/>
      <c r="AB67" s="34" t="str">
        <f t="shared" ca="1" si="40"/>
        <v/>
      </c>
      <c r="AC67" s="34" t="str">
        <f ca="1">IF(ISNUMBER(D67), AB67*(Return), "")</f>
        <v/>
      </c>
      <c r="AD67" s="34" t="str">
        <f t="shared" ca="1" si="41"/>
        <v/>
      </c>
      <c r="AE67" s="34" t="str">
        <f t="shared" ca="1" si="42"/>
        <v/>
      </c>
    </row>
    <row r="68" spans="3:31" x14ac:dyDescent="0.25">
      <c r="C68" t="str">
        <f t="shared" ca="1" si="25"/>
        <v/>
      </c>
      <c r="D68" t="str">
        <f t="shared" ca="1" si="7"/>
        <v/>
      </c>
      <c r="E68" s="34" t="str">
        <f ca="1">IF(ISNUMBER(D68), E67*(1+Inflation+Productivity), "")</f>
        <v/>
      </c>
      <c r="F68" s="34" t="str">
        <f t="shared" ca="1" si="26"/>
        <v/>
      </c>
      <c r="G68" s="109" t="str">
        <f t="shared" ca="1" si="27"/>
        <v/>
      </c>
      <c r="H68" s="34"/>
      <c r="I68" s="34"/>
      <c r="J68" s="34"/>
      <c r="K68" s="34" t="str">
        <f ca="1">IF(ISNUMBER(D68), MIN(0.0188*E68, 0.0188*47400*(1+Inflation)^(D68-Current_Age)), "")</f>
        <v/>
      </c>
      <c r="L68" s="34" t="str">
        <f t="shared" ca="1" si="28"/>
        <v/>
      </c>
      <c r="M68" s="34"/>
      <c r="N68" s="34" t="str">
        <f t="shared" ca="1" si="29"/>
        <v/>
      </c>
      <c r="O68" s="34"/>
      <c r="P68" s="94" t="str">
        <f t="shared" ca="1" si="30"/>
        <v/>
      </c>
      <c r="Q68" s="94" t="str">
        <f t="shared" ca="1" si="31"/>
        <v/>
      </c>
      <c r="R68" s="94" t="str">
        <f t="shared" ca="1" si="32"/>
        <v/>
      </c>
      <c r="S68" s="94" t="str">
        <f t="shared" ca="1" si="33"/>
        <v/>
      </c>
      <c r="T68" s="94" t="str">
        <f t="shared" ca="1" si="34"/>
        <v/>
      </c>
      <c r="U68" s="34"/>
      <c r="V68" s="94" t="str">
        <f t="shared" ca="1" si="35"/>
        <v/>
      </c>
      <c r="W68" s="34" t="str">
        <f t="shared" ca="1" si="36"/>
        <v/>
      </c>
      <c r="X68" s="34" t="str">
        <f t="shared" ca="1" si="37"/>
        <v/>
      </c>
      <c r="Y68" s="34" t="str">
        <f t="shared" ca="1" si="38"/>
        <v/>
      </c>
      <c r="Z68" s="34" t="str">
        <f t="shared" ca="1" si="39"/>
        <v/>
      </c>
      <c r="AA68" s="34"/>
      <c r="AB68" s="34" t="str">
        <f t="shared" ca="1" si="40"/>
        <v/>
      </c>
      <c r="AC68" s="34" t="str">
        <f ca="1">IF(ISNUMBER(D68), AB68*(Return), "")</f>
        <v/>
      </c>
      <c r="AD68" s="34" t="str">
        <f t="shared" ca="1" si="41"/>
        <v/>
      </c>
      <c r="AE68" s="34" t="str">
        <f t="shared" ca="1" si="42"/>
        <v/>
      </c>
    </row>
    <row r="69" spans="3:31" x14ac:dyDescent="0.25">
      <c r="C69" t="str">
        <f t="shared" ca="1" si="25"/>
        <v/>
      </c>
      <c r="D69" t="str">
        <f t="shared" ca="1" si="7"/>
        <v/>
      </c>
      <c r="E69" s="34" t="str">
        <f ca="1">IF(ISNUMBER(D69), E68*(1+Inflation+Productivity), "")</f>
        <v/>
      </c>
      <c r="F69" s="34" t="str">
        <f t="shared" ca="1" si="26"/>
        <v/>
      </c>
      <c r="G69" s="109" t="str">
        <f t="shared" ca="1" si="27"/>
        <v/>
      </c>
      <c r="H69" s="34"/>
      <c r="I69" s="34"/>
      <c r="J69" s="34"/>
      <c r="K69" s="34" t="str">
        <f ca="1">IF(ISNUMBER(D69), MIN(0.0188*E69, 0.0188*47400*(1+Inflation)^(D69-Current_Age)), "")</f>
        <v/>
      </c>
      <c r="L69" s="34" t="str">
        <f t="shared" ca="1" si="28"/>
        <v/>
      </c>
      <c r="M69" s="34"/>
      <c r="N69" s="34" t="str">
        <f t="shared" ca="1" si="29"/>
        <v/>
      </c>
      <c r="O69" s="34"/>
      <c r="P69" s="94" t="str">
        <f t="shared" ca="1" si="30"/>
        <v/>
      </c>
      <c r="Q69" s="94" t="str">
        <f t="shared" ca="1" si="31"/>
        <v/>
      </c>
      <c r="R69" s="94" t="str">
        <f t="shared" ca="1" si="32"/>
        <v/>
      </c>
      <c r="S69" s="94" t="str">
        <f t="shared" ca="1" si="33"/>
        <v/>
      </c>
      <c r="T69" s="94" t="str">
        <f t="shared" ca="1" si="34"/>
        <v/>
      </c>
      <c r="U69" s="34"/>
      <c r="V69" s="94" t="str">
        <f t="shared" ca="1" si="35"/>
        <v/>
      </c>
      <c r="W69" s="34" t="str">
        <f t="shared" ca="1" si="36"/>
        <v/>
      </c>
      <c r="X69" s="34" t="str">
        <f t="shared" ca="1" si="37"/>
        <v/>
      </c>
      <c r="Y69" s="34" t="str">
        <f t="shared" ca="1" si="38"/>
        <v/>
      </c>
      <c r="Z69" s="34" t="str">
        <f t="shared" ca="1" si="39"/>
        <v/>
      </c>
      <c r="AA69" s="34"/>
      <c r="AB69" s="34" t="str">
        <f t="shared" ca="1" si="40"/>
        <v/>
      </c>
      <c r="AC69" s="34" t="str">
        <f ca="1">IF(ISNUMBER(D69), AB69*(Return), "")</f>
        <v/>
      </c>
      <c r="AD69" s="34" t="str">
        <f t="shared" ca="1" si="41"/>
        <v/>
      </c>
      <c r="AE69" s="34" t="str">
        <f t="shared" ca="1" si="42"/>
        <v/>
      </c>
    </row>
    <row r="70" spans="3:31" x14ac:dyDescent="0.25">
      <c r="C70" t="str">
        <f t="shared" ca="1" si="25"/>
        <v/>
      </c>
      <c r="D70" t="str">
        <f t="shared" ca="1" si="7"/>
        <v/>
      </c>
      <c r="E70" s="34" t="str">
        <f ca="1">IF(ISNUMBER(D70), E69*(1+Inflation+Productivity), "")</f>
        <v/>
      </c>
      <c r="F70" s="34" t="str">
        <f t="shared" ca="1" si="26"/>
        <v/>
      </c>
      <c r="G70" s="109" t="str">
        <f t="shared" ca="1" si="27"/>
        <v/>
      </c>
      <c r="H70" s="34"/>
      <c r="I70" s="34"/>
      <c r="J70" s="34"/>
      <c r="K70" s="34" t="str">
        <f ca="1">IF(ISNUMBER(D70), MIN(0.0188*E70, 0.0188*47400*(1+Inflation)^(D70-Current_Age)), "")</f>
        <v/>
      </c>
      <c r="L70" s="34" t="str">
        <f t="shared" ca="1" si="28"/>
        <v/>
      </c>
      <c r="M70" s="34"/>
      <c r="N70" s="34" t="str">
        <f t="shared" ca="1" si="29"/>
        <v/>
      </c>
      <c r="O70" s="34"/>
      <c r="P70" s="94" t="str">
        <f t="shared" ca="1" si="30"/>
        <v/>
      </c>
      <c r="Q70" s="94" t="str">
        <f t="shared" ca="1" si="31"/>
        <v/>
      </c>
      <c r="R70" s="94" t="str">
        <f t="shared" ca="1" si="32"/>
        <v/>
      </c>
      <c r="S70" s="94" t="str">
        <f t="shared" ca="1" si="33"/>
        <v/>
      </c>
      <c r="T70" s="94" t="str">
        <f t="shared" ca="1" si="34"/>
        <v/>
      </c>
      <c r="U70" s="34"/>
      <c r="V70" s="94" t="str">
        <f t="shared" ca="1" si="35"/>
        <v/>
      </c>
      <c r="W70" s="34" t="str">
        <f t="shared" ca="1" si="36"/>
        <v/>
      </c>
      <c r="X70" s="34" t="str">
        <f t="shared" ca="1" si="37"/>
        <v/>
      </c>
      <c r="Y70" s="34" t="str">
        <f t="shared" ca="1" si="38"/>
        <v/>
      </c>
      <c r="Z70" s="34" t="str">
        <f t="shared" ca="1" si="39"/>
        <v/>
      </c>
      <c r="AA70" s="34"/>
      <c r="AB70" s="34" t="str">
        <f t="shared" ca="1" si="40"/>
        <v/>
      </c>
      <c r="AC70" s="34" t="str">
        <f ca="1">IF(ISNUMBER(D70), AB70*(Return), "")</f>
        <v/>
      </c>
      <c r="AD70" s="34" t="str">
        <f t="shared" ca="1" si="41"/>
        <v/>
      </c>
      <c r="AE70" s="34" t="str">
        <f t="shared" ca="1" si="42"/>
        <v/>
      </c>
    </row>
    <row r="71" spans="3:31" x14ac:dyDescent="0.25">
      <c r="C71" t="str">
        <f t="shared" ca="1" si="25"/>
        <v/>
      </c>
      <c r="D71" t="str">
        <f t="shared" ca="1" si="7"/>
        <v/>
      </c>
      <c r="E71" s="34" t="str">
        <f ca="1">IF(ISNUMBER(D71), E70*(1+Inflation+Productivity), "")</f>
        <v/>
      </c>
      <c r="F71" s="34" t="str">
        <f t="shared" ca="1" si="26"/>
        <v/>
      </c>
      <c r="G71" s="109" t="str">
        <f t="shared" ca="1" si="27"/>
        <v/>
      </c>
      <c r="H71" s="34"/>
      <c r="I71" s="34"/>
      <c r="J71" s="34"/>
      <c r="K71" s="34" t="str">
        <f ca="1">IF(ISNUMBER(D71), MIN(0.0188*E71, 0.0188*47400*(1+Inflation)^(D71-Current_Age)), "")</f>
        <v/>
      </c>
      <c r="L71" s="34" t="str">
        <f t="shared" ca="1" si="28"/>
        <v/>
      </c>
      <c r="M71" s="34"/>
      <c r="N71" s="34" t="str">
        <f t="shared" ca="1" si="29"/>
        <v/>
      </c>
      <c r="O71" s="34"/>
      <c r="P71" s="94" t="str">
        <f t="shared" ca="1" si="30"/>
        <v/>
      </c>
      <c r="Q71" s="94" t="str">
        <f t="shared" ca="1" si="31"/>
        <v/>
      </c>
      <c r="R71" s="94" t="str">
        <f t="shared" ca="1" si="32"/>
        <v/>
      </c>
      <c r="S71" s="94" t="str">
        <f t="shared" ca="1" si="33"/>
        <v/>
      </c>
      <c r="T71" s="94" t="str">
        <f t="shared" ca="1" si="34"/>
        <v/>
      </c>
      <c r="U71" s="34"/>
      <c r="V71" s="94" t="str">
        <f t="shared" ca="1" si="35"/>
        <v/>
      </c>
      <c r="W71" s="34" t="str">
        <f t="shared" ca="1" si="36"/>
        <v/>
      </c>
      <c r="X71" s="34" t="str">
        <f t="shared" ca="1" si="37"/>
        <v/>
      </c>
      <c r="Y71" s="34" t="str">
        <f t="shared" ca="1" si="38"/>
        <v/>
      </c>
      <c r="Z71" s="34" t="str">
        <f t="shared" ca="1" si="39"/>
        <v/>
      </c>
      <c r="AA71" s="34"/>
      <c r="AB71" s="34" t="str">
        <f t="shared" ca="1" si="40"/>
        <v/>
      </c>
      <c r="AC71" s="34" t="str">
        <f ca="1">IF(ISNUMBER(D71), AB71*(Return), "")</f>
        <v/>
      </c>
      <c r="AD71" s="34" t="str">
        <f t="shared" ca="1" si="41"/>
        <v/>
      </c>
      <c r="AE71" s="34" t="str">
        <f t="shared" ca="1" si="42"/>
        <v/>
      </c>
    </row>
    <row r="72" spans="3:31" x14ac:dyDescent="0.25">
      <c r="C72" t="str">
        <f t="shared" ca="1" si="25"/>
        <v/>
      </c>
      <c r="D72" t="str">
        <f t="shared" ca="1" si="7"/>
        <v/>
      </c>
      <c r="E72" s="34" t="str">
        <f ca="1">IF(ISNUMBER(D72), E71*(1+Inflation+Productivity), "")</f>
        <v/>
      </c>
      <c r="F72" s="34" t="str">
        <f t="shared" ca="1" si="26"/>
        <v/>
      </c>
      <c r="G72" s="109" t="str">
        <f t="shared" ca="1" si="27"/>
        <v/>
      </c>
      <c r="H72" s="34"/>
      <c r="I72" s="34"/>
      <c r="J72" s="34"/>
      <c r="K72" s="34" t="str">
        <f ca="1">IF(ISNUMBER(D72), MIN(0.0188*E72, 0.0188*47400*(1+Inflation)^(D72-Current_Age)), "")</f>
        <v/>
      </c>
      <c r="L72" s="34" t="str">
        <f t="shared" ca="1" si="28"/>
        <v/>
      </c>
      <c r="M72" s="34"/>
      <c r="N72" s="34" t="str">
        <f t="shared" ca="1" si="29"/>
        <v/>
      </c>
      <c r="O72" s="34"/>
      <c r="P72" s="94" t="str">
        <f t="shared" ca="1" si="30"/>
        <v/>
      </c>
      <c r="Q72" s="94" t="str">
        <f t="shared" ca="1" si="31"/>
        <v/>
      </c>
      <c r="R72" s="94" t="str">
        <f t="shared" ca="1" si="32"/>
        <v/>
      </c>
      <c r="S72" s="94" t="str">
        <f t="shared" ca="1" si="33"/>
        <v/>
      </c>
      <c r="T72" s="94" t="str">
        <f t="shared" ca="1" si="34"/>
        <v/>
      </c>
      <c r="U72" s="34"/>
      <c r="V72" s="94" t="str">
        <f t="shared" ca="1" si="35"/>
        <v/>
      </c>
      <c r="W72" s="34" t="str">
        <f t="shared" ca="1" si="36"/>
        <v/>
      </c>
      <c r="X72" s="34" t="str">
        <f t="shared" ca="1" si="37"/>
        <v/>
      </c>
      <c r="Y72" s="34" t="str">
        <f t="shared" ca="1" si="38"/>
        <v/>
      </c>
      <c r="Z72" s="34" t="str">
        <f t="shared" ca="1" si="39"/>
        <v/>
      </c>
      <c r="AA72" s="34"/>
      <c r="AB72" s="34" t="str">
        <f t="shared" ca="1" si="40"/>
        <v/>
      </c>
      <c r="AC72" s="34" t="str">
        <f ca="1">IF(ISNUMBER(D72), AB72*(Return), "")</f>
        <v/>
      </c>
      <c r="AD72" s="34" t="str">
        <f t="shared" ca="1" si="41"/>
        <v/>
      </c>
      <c r="AE72" s="34" t="str">
        <f t="shared" ca="1" si="42"/>
        <v/>
      </c>
    </row>
    <row r="73" spans="3:31" x14ac:dyDescent="0.25">
      <c r="C73" t="str">
        <f t="shared" ca="1" si="25"/>
        <v/>
      </c>
      <c r="D73" t="str">
        <f t="shared" ca="1" si="7"/>
        <v/>
      </c>
      <c r="E73" s="34" t="str">
        <f ca="1">IF(ISNUMBER(D73), E72*(1+Inflation+Productivity), "")</f>
        <v/>
      </c>
      <c r="F73" s="34" t="str">
        <f t="shared" ca="1" si="26"/>
        <v/>
      </c>
      <c r="G73" s="109" t="str">
        <f t="shared" ca="1" si="27"/>
        <v/>
      </c>
      <c r="H73" s="34"/>
      <c r="I73" s="34"/>
      <c r="J73" s="34"/>
      <c r="K73" s="34" t="str">
        <f ca="1">IF(ISNUMBER(D73), MIN(0.0188*E73, 0.0188*47400*(1+Inflation)^(D73-Current_Age)), "")</f>
        <v/>
      </c>
      <c r="L73" s="34" t="str">
        <f t="shared" ca="1" si="28"/>
        <v/>
      </c>
      <c r="M73" s="34"/>
      <c r="N73" s="34" t="str">
        <f t="shared" ca="1" si="29"/>
        <v/>
      </c>
      <c r="O73" s="34"/>
      <c r="P73" s="94" t="str">
        <f t="shared" ca="1" si="30"/>
        <v/>
      </c>
      <c r="Q73" s="94" t="str">
        <f t="shared" ca="1" si="31"/>
        <v/>
      </c>
      <c r="R73" s="94" t="str">
        <f t="shared" ca="1" si="32"/>
        <v/>
      </c>
      <c r="S73" s="94" t="str">
        <f t="shared" ca="1" si="33"/>
        <v/>
      </c>
      <c r="T73" s="94" t="str">
        <f t="shared" ca="1" si="34"/>
        <v/>
      </c>
      <c r="U73" s="34"/>
      <c r="V73" s="94" t="str">
        <f t="shared" ca="1" si="35"/>
        <v/>
      </c>
      <c r="W73" s="34" t="str">
        <f t="shared" ca="1" si="36"/>
        <v/>
      </c>
      <c r="X73" s="34" t="str">
        <f t="shared" ca="1" si="37"/>
        <v/>
      </c>
      <c r="Y73" s="34" t="str">
        <f t="shared" ca="1" si="38"/>
        <v/>
      </c>
      <c r="Z73" s="34" t="str">
        <f t="shared" ca="1" si="39"/>
        <v/>
      </c>
      <c r="AA73" s="34"/>
      <c r="AB73" s="34" t="str">
        <f t="shared" ca="1" si="40"/>
        <v/>
      </c>
      <c r="AC73" s="34" t="str">
        <f ca="1">IF(ISNUMBER(D73), AB73*(Return), "")</f>
        <v/>
      </c>
      <c r="AD73" s="34" t="str">
        <f t="shared" ca="1" si="41"/>
        <v/>
      </c>
      <c r="AE73" s="34" t="str">
        <f t="shared" ca="1" si="42"/>
        <v/>
      </c>
    </row>
    <row r="74" spans="3:31" x14ac:dyDescent="0.25">
      <c r="C74" t="str">
        <f t="shared" ca="1" si="25"/>
        <v/>
      </c>
      <c r="D74" t="str">
        <f t="shared" ref="D74:D100" ca="1" si="43">IF(ISERROR(IF(D73+1&lt;=Retirement_Age, D73+1, "")), "", IF(D73+1&lt;=Retirement_Age, D73+1, ""))</f>
        <v/>
      </c>
      <c r="E74" s="34" t="str">
        <f ca="1">IF(ISNUMBER(D74), E73*(1+Inflation+Productivity), "")</f>
        <v/>
      </c>
      <c r="F74" s="34" t="str">
        <f t="shared" ca="1" si="26"/>
        <v/>
      </c>
      <c r="G74" s="109" t="str">
        <f t="shared" ca="1" si="27"/>
        <v/>
      </c>
      <c r="H74" s="34"/>
      <c r="I74" s="34"/>
      <c r="J74" s="34"/>
      <c r="K74" s="34" t="str">
        <f ca="1">IF(ISNUMBER(D74), MIN(0.0188*E74, 0.0188*47400*(1+Inflation)^(D74-Current_Age)), "")</f>
        <v/>
      </c>
      <c r="L74" s="34" t="str">
        <f t="shared" ca="1" si="28"/>
        <v/>
      </c>
      <c r="M74" s="34"/>
      <c r="N74" s="34" t="str">
        <f t="shared" ca="1" si="29"/>
        <v/>
      </c>
      <c r="O74" s="34"/>
      <c r="P74" s="94" t="str">
        <f t="shared" ca="1" si="30"/>
        <v/>
      </c>
      <c r="Q74" s="94" t="str">
        <f t="shared" ca="1" si="31"/>
        <v/>
      </c>
      <c r="R74" s="94" t="str">
        <f t="shared" ca="1" si="32"/>
        <v/>
      </c>
      <c r="S74" s="94" t="str">
        <f t="shared" ca="1" si="33"/>
        <v/>
      </c>
      <c r="T74" s="94" t="str">
        <f t="shared" ca="1" si="34"/>
        <v/>
      </c>
      <c r="U74" s="34"/>
      <c r="V74" s="94" t="str">
        <f t="shared" ca="1" si="35"/>
        <v/>
      </c>
      <c r="W74" s="34" t="str">
        <f t="shared" ca="1" si="36"/>
        <v/>
      </c>
      <c r="X74" s="34" t="str">
        <f t="shared" ca="1" si="37"/>
        <v/>
      </c>
      <c r="Y74" s="34" t="str">
        <f t="shared" ca="1" si="38"/>
        <v/>
      </c>
      <c r="Z74" s="34" t="str">
        <f t="shared" ca="1" si="39"/>
        <v/>
      </c>
      <c r="AA74" s="34"/>
      <c r="AB74" s="34" t="str">
        <f t="shared" ca="1" si="40"/>
        <v/>
      </c>
      <c r="AC74" s="34" t="str">
        <f ca="1">IF(ISNUMBER(D74), AB74*(Return), "")</f>
        <v/>
      </c>
      <c r="AD74" s="34" t="str">
        <f t="shared" ca="1" si="41"/>
        <v/>
      </c>
      <c r="AE74" s="34" t="str">
        <f t="shared" ca="1" si="42"/>
        <v/>
      </c>
    </row>
    <row r="75" spans="3:31" x14ac:dyDescent="0.25">
      <c r="C75" t="str">
        <f t="shared" ca="1" si="25"/>
        <v/>
      </c>
      <c r="D75" t="str">
        <f t="shared" ca="1" si="43"/>
        <v/>
      </c>
      <c r="E75" s="34" t="str">
        <f ca="1">IF(ISNUMBER(D75), E74*(1+Inflation+Productivity), "")</f>
        <v/>
      </c>
      <c r="F75" s="34" t="str">
        <f t="shared" ca="1" si="26"/>
        <v/>
      </c>
      <c r="G75" s="109" t="str">
        <f t="shared" ca="1" si="27"/>
        <v/>
      </c>
      <c r="H75" s="34"/>
      <c r="I75" s="34"/>
      <c r="J75" s="34"/>
      <c r="K75" s="34" t="str">
        <f ca="1">IF(ISNUMBER(D75), MIN(0.0188*E75, 0.0188*47400*(1+Inflation)^(D75-Current_Age)), "")</f>
        <v/>
      </c>
      <c r="L75" s="34" t="str">
        <f t="shared" ca="1" si="28"/>
        <v/>
      </c>
      <c r="M75" s="34"/>
      <c r="N75" s="34" t="str">
        <f t="shared" ca="1" si="29"/>
        <v/>
      </c>
      <c r="O75" s="34"/>
      <c r="P75" s="94" t="str">
        <f t="shared" ca="1" si="30"/>
        <v/>
      </c>
      <c r="Q75" s="94" t="str">
        <f t="shared" ca="1" si="31"/>
        <v/>
      </c>
      <c r="R75" s="94" t="str">
        <f t="shared" ca="1" si="32"/>
        <v/>
      </c>
      <c r="S75" s="94" t="str">
        <f t="shared" ca="1" si="33"/>
        <v/>
      </c>
      <c r="T75" s="94" t="str">
        <f t="shared" ca="1" si="34"/>
        <v/>
      </c>
      <c r="U75" s="34"/>
      <c r="V75" s="94" t="str">
        <f t="shared" ca="1" si="35"/>
        <v/>
      </c>
      <c r="W75" s="34" t="str">
        <f t="shared" ca="1" si="36"/>
        <v/>
      </c>
      <c r="X75" s="34" t="str">
        <f t="shared" ca="1" si="37"/>
        <v/>
      </c>
      <c r="Y75" s="34" t="str">
        <f t="shared" ca="1" si="38"/>
        <v/>
      </c>
      <c r="Z75" s="34" t="str">
        <f t="shared" ca="1" si="39"/>
        <v/>
      </c>
      <c r="AA75" s="34"/>
      <c r="AB75" s="34" t="str">
        <f t="shared" ca="1" si="40"/>
        <v/>
      </c>
      <c r="AC75" s="34" t="str">
        <f ca="1">IF(ISNUMBER(D75), AB75*(Return), "")</f>
        <v/>
      </c>
      <c r="AD75" s="34" t="str">
        <f t="shared" ca="1" si="41"/>
        <v/>
      </c>
      <c r="AE75" s="34" t="str">
        <f t="shared" ca="1" si="42"/>
        <v/>
      </c>
    </row>
    <row r="76" spans="3:31" x14ac:dyDescent="0.25">
      <c r="C76" t="str">
        <f t="shared" ca="1" si="25"/>
        <v/>
      </c>
      <c r="D76" t="str">
        <f t="shared" ca="1" si="43"/>
        <v/>
      </c>
      <c r="E76" s="34" t="str">
        <f ca="1">IF(ISNUMBER(D76), E75*(1+Inflation+Productivity), "")</f>
        <v/>
      </c>
      <c r="F76" s="34" t="str">
        <f t="shared" ca="1" si="26"/>
        <v/>
      </c>
      <c r="G76" s="109" t="str">
        <f t="shared" ca="1" si="27"/>
        <v/>
      </c>
      <c r="H76" s="34"/>
      <c r="I76" s="34"/>
      <c r="J76" s="34"/>
      <c r="K76" s="34" t="str">
        <f ca="1">IF(ISNUMBER(D76), MIN(0.0188*E76, 0.0188*47400*(1+Inflation)^(D76-Current_Age)), "")</f>
        <v/>
      </c>
      <c r="L76" s="34" t="str">
        <f t="shared" ca="1" si="28"/>
        <v/>
      </c>
      <c r="M76" s="34"/>
      <c r="N76" s="34" t="str">
        <f t="shared" ca="1" si="29"/>
        <v/>
      </c>
      <c r="O76" s="34"/>
      <c r="P76" s="94" t="str">
        <f t="shared" ca="1" si="30"/>
        <v/>
      </c>
      <c r="Q76" s="94" t="str">
        <f t="shared" ca="1" si="31"/>
        <v/>
      </c>
      <c r="R76" s="94" t="str">
        <f t="shared" ca="1" si="32"/>
        <v/>
      </c>
      <c r="S76" s="94" t="str">
        <f t="shared" ca="1" si="33"/>
        <v/>
      </c>
      <c r="T76" s="94" t="str">
        <f t="shared" ca="1" si="34"/>
        <v/>
      </c>
      <c r="U76" s="34"/>
      <c r="V76" s="94" t="str">
        <f t="shared" ca="1" si="35"/>
        <v/>
      </c>
      <c r="W76" s="34" t="str">
        <f t="shared" ca="1" si="36"/>
        <v/>
      </c>
      <c r="X76" s="34" t="str">
        <f t="shared" ca="1" si="37"/>
        <v/>
      </c>
      <c r="Y76" s="34" t="str">
        <f t="shared" ca="1" si="38"/>
        <v/>
      </c>
      <c r="Z76" s="34" t="str">
        <f t="shared" ca="1" si="39"/>
        <v/>
      </c>
      <c r="AA76" s="34"/>
      <c r="AB76" s="34" t="str">
        <f t="shared" ca="1" si="40"/>
        <v/>
      </c>
      <c r="AC76" s="34" t="str">
        <f ca="1">IF(ISNUMBER(D76), AB76*(Return), "")</f>
        <v/>
      </c>
      <c r="AD76" s="34" t="str">
        <f t="shared" ca="1" si="41"/>
        <v/>
      </c>
      <c r="AE76" s="34" t="str">
        <f t="shared" ca="1" si="42"/>
        <v/>
      </c>
    </row>
    <row r="77" spans="3:31" x14ac:dyDescent="0.25">
      <c r="C77" t="str">
        <f t="shared" ca="1" si="25"/>
        <v/>
      </c>
      <c r="D77" t="str">
        <f t="shared" ca="1" si="43"/>
        <v/>
      </c>
      <c r="E77" s="34" t="str">
        <f ca="1">IF(ISNUMBER(D77), E76*(1+Inflation+Productivity), "")</f>
        <v/>
      </c>
      <c r="F77" s="34" t="str">
        <f t="shared" ca="1" si="26"/>
        <v/>
      </c>
      <c r="G77" s="109" t="str">
        <f t="shared" ca="1" si="27"/>
        <v/>
      </c>
      <c r="H77" s="34"/>
      <c r="I77" s="34"/>
      <c r="J77" s="34"/>
      <c r="K77" s="34" t="str">
        <f ca="1">IF(ISNUMBER(D77), MIN(0.0188*E77, 0.0188*47400*(1+Inflation)^(D77-Current_Age)), "")</f>
        <v/>
      </c>
      <c r="L77" s="34" t="str">
        <f t="shared" ca="1" si="28"/>
        <v/>
      </c>
      <c r="M77" s="34"/>
      <c r="N77" s="34" t="str">
        <f t="shared" ca="1" si="29"/>
        <v/>
      </c>
      <c r="O77" s="34"/>
      <c r="P77" s="94" t="str">
        <f t="shared" ca="1" si="30"/>
        <v/>
      </c>
      <c r="Q77" s="94" t="str">
        <f t="shared" ca="1" si="31"/>
        <v/>
      </c>
      <c r="R77" s="94" t="str">
        <f t="shared" ca="1" si="32"/>
        <v/>
      </c>
      <c r="S77" s="94" t="str">
        <f t="shared" ca="1" si="33"/>
        <v/>
      </c>
      <c r="T77" s="94" t="str">
        <f t="shared" ca="1" si="34"/>
        <v/>
      </c>
      <c r="U77" s="34"/>
      <c r="V77" s="94" t="str">
        <f t="shared" ca="1" si="35"/>
        <v/>
      </c>
      <c r="W77" s="34" t="str">
        <f t="shared" ca="1" si="36"/>
        <v/>
      </c>
      <c r="X77" s="34" t="str">
        <f t="shared" ca="1" si="37"/>
        <v/>
      </c>
      <c r="Y77" s="34" t="str">
        <f t="shared" ca="1" si="38"/>
        <v/>
      </c>
      <c r="Z77" s="34" t="str">
        <f t="shared" ca="1" si="39"/>
        <v/>
      </c>
      <c r="AA77" s="34"/>
      <c r="AB77" s="34" t="str">
        <f t="shared" ca="1" si="40"/>
        <v/>
      </c>
      <c r="AC77" s="34" t="str">
        <f ca="1">IF(ISNUMBER(D77), AB77*(Return), "")</f>
        <v/>
      </c>
      <c r="AD77" s="34" t="str">
        <f t="shared" ca="1" si="41"/>
        <v/>
      </c>
      <c r="AE77" s="34" t="str">
        <f t="shared" ca="1" si="42"/>
        <v/>
      </c>
    </row>
    <row r="78" spans="3:31" x14ac:dyDescent="0.25">
      <c r="C78" t="str">
        <f t="shared" ca="1" si="25"/>
        <v/>
      </c>
      <c r="D78" t="str">
        <f t="shared" ca="1" si="43"/>
        <v/>
      </c>
      <c r="E78" s="34" t="str">
        <f ca="1">IF(ISNUMBER(D78), E77*(1+Inflation+Productivity), "")</f>
        <v/>
      </c>
      <c r="F78" s="34" t="str">
        <f t="shared" ca="1" si="26"/>
        <v/>
      </c>
      <c r="G78" s="109" t="str">
        <f t="shared" ca="1" si="27"/>
        <v/>
      </c>
      <c r="H78" s="34"/>
      <c r="I78" s="34"/>
      <c r="J78" s="34"/>
      <c r="K78" s="34" t="str">
        <f ca="1">IF(ISNUMBER(D78), MIN(0.0188*E78, 0.0188*47400*(1+Inflation)^(D78-Current_Age)), "")</f>
        <v/>
      </c>
      <c r="L78" s="34" t="str">
        <f t="shared" ca="1" si="28"/>
        <v/>
      </c>
      <c r="M78" s="34"/>
      <c r="N78" s="34" t="str">
        <f t="shared" ca="1" si="29"/>
        <v/>
      </c>
      <c r="O78" s="34"/>
      <c r="P78" s="94" t="str">
        <f t="shared" ca="1" si="30"/>
        <v/>
      </c>
      <c r="Q78" s="94" t="str">
        <f t="shared" ca="1" si="31"/>
        <v/>
      </c>
      <c r="R78" s="94" t="str">
        <f t="shared" ca="1" si="32"/>
        <v/>
      </c>
      <c r="S78" s="94" t="str">
        <f t="shared" ca="1" si="33"/>
        <v/>
      </c>
      <c r="T78" s="94" t="str">
        <f t="shared" ca="1" si="34"/>
        <v/>
      </c>
      <c r="U78" s="34"/>
      <c r="V78" s="94" t="str">
        <f t="shared" ca="1" si="35"/>
        <v/>
      </c>
      <c r="W78" s="34" t="str">
        <f t="shared" ca="1" si="36"/>
        <v/>
      </c>
      <c r="X78" s="34" t="str">
        <f t="shared" ca="1" si="37"/>
        <v/>
      </c>
      <c r="Y78" s="34" t="str">
        <f t="shared" ca="1" si="38"/>
        <v/>
      </c>
      <c r="Z78" s="34" t="str">
        <f t="shared" ca="1" si="39"/>
        <v/>
      </c>
      <c r="AA78" s="34"/>
      <c r="AB78" s="34" t="str">
        <f t="shared" ca="1" si="40"/>
        <v/>
      </c>
      <c r="AC78" s="34" t="str">
        <f ca="1">IF(ISNUMBER(D78), AB78*(Return), "")</f>
        <v/>
      </c>
      <c r="AD78" s="34" t="str">
        <f t="shared" ca="1" si="41"/>
        <v/>
      </c>
      <c r="AE78" s="34" t="str">
        <f t="shared" ca="1" si="42"/>
        <v/>
      </c>
    </row>
    <row r="79" spans="3:31" x14ac:dyDescent="0.25">
      <c r="C79" t="str">
        <f t="shared" ca="1" si="25"/>
        <v/>
      </c>
      <c r="D79" t="str">
        <f t="shared" ca="1" si="43"/>
        <v/>
      </c>
      <c r="E79" s="34" t="str">
        <f ca="1">IF(ISNUMBER(D79), E78*(1+Inflation+Productivity), "")</f>
        <v/>
      </c>
      <c r="F79" s="34" t="str">
        <f t="shared" ca="1" si="26"/>
        <v/>
      </c>
      <c r="G79" s="109" t="str">
        <f t="shared" ca="1" si="27"/>
        <v/>
      </c>
      <c r="H79" s="34"/>
      <c r="I79" s="34"/>
      <c r="J79" s="34"/>
      <c r="K79" s="34" t="str">
        <f ca="1">IF(ISNUMBER(D79), MIN(0.0188*E79, 0.0188*47400*(1+Inflation)^(D79-Current_Age)), "")</f>
        <v/>
      </c>
      <c r="L79" s="34" t="str">
        <f t="shared" ca="1" si="28"/>
        <v/>
      </c>
      <c r="M79" s="34"/>
      <c r="N79" s="34" t="str">
        <f t="shared" ca="1" si="29"/>
        <v/>
      </c>
      <c r="O79" s="34"/>
      <c r="P79" s="94" t="str">
        <f t="shared" ca="1" si="30"/>
        <v/>
      </c>
      <c r="Q79" s="94" t="str">
        <f t="shared" ca="1" si="31"/>
        <v/>
      </c>
      <c r="R79" s="94" t="str">
        <f t="shared" ca="1" si="32"/>
        <v/>
      </c>
      <c r="S79" s="94" t="str">
        <f t="shared" ca="1" si="33"/>
        <v/>
      </c>
      <c r="T79" s="94" t="str">
        <f t="shared" ca="1" si="34"/>
        <v/>
      </c>
      <c r="U79" s="34"/>
      <c r="V79" s="94" t="str">
        <f t="shared" ca="1" si="35"/>
        <v/>
      </c>
      <c r="W79" s="34" t="str">
        <f t="shared" ca="1" si="36"/>
        <v/>
      </c>
      <c r="X79" s="34" t="str">
        <f t="shared" ca="1" si="37"/>
        <v/>
      </c>
      <c r="Y79" s="34" t="str">
        <f t="shared" ca="1" si="38"/>
        <v/>
      </c>
      <c r="Z79" s="34" t="str">
        <f t="shared" ca="1" si="39"/>
        <v/>
      </c>
      <c r="AA79" s="34"/>
      <c r="AB79" s="34" t="str">
        <f t="shared" ca="1" si="40"/>
        <v/>
      </c>
      <c r="AC79" s="34" t="str">
        <f ca="1">IF(ISNUMBER(D79), AB79*(Return), "")</f>
        <v/>
      </c>
      <c r="AD79" s="34" t="str">
        <f t="shared" ca="1" si="41"/>
        <v/>
      </c>
      <c r="AE79" s="34" t="str">
        <f t="shared" ca="1" si="42"/>
        <v/>
      </c>
    </row>
    <row r="80" spans="3:31" x14ac:dyDescent="0.25">
      <c r="C80" t="str">
        <f t="shared" ca="1" si="25"/>
        <v/>
      </c>
      <c r="D80" t="str">
        <f t="shared" ca="1" si="43"/>
        <v/>
      </c>
      <c r="E80" s="34" t="str">
        <f ca="1">IF(ISNUMBER(D80), E79*(1+Inflation+Productivity), "")</f>
        <v/>
      </c>
      <c r="F80" s="34" t="str">
        <f t="shared" ca="1" si="26"/>
        <v/>
      </c>
      <c r="G80" s="109" t="str">
        <f t="shared" ca="1" si="27"/>
        <v/>
      </c>
      <c r="H80" s="34"/>
      <c r="I80" s="34"/>
      <c r="J80" s="34"/>
      <c r="K80" s="34" t="str">
        <f ca="1">IF(ISNUMBER(D80), MIN(0.0188*E80, 0.0188*47400*(1+Inflation)^(D80-Current_Age)), "")</f>
        <v/>
      </c>
      <c r="L80" s="34" t="str">
        <f t="shared" ca="1" si="28"/>
        <v/>
      </c>
      <c r="M80" s="34"/>
      <c r="N80" s="34" t="str">
        <f t="shared" ca="1" si="29"/>
        <v/>
      </c>
      <c r="O80" s="34"/>
      <c r="P80" s="94" t="str">
        <f t="shared" ca="1" si="30"/>
        <v/>
      </c>
      <c r="Q80" s="94" t="str">
        <f t="shared" ca="1" si="31"/>
        <v/>
      </c>
      <c r="R80" s="94" t="str">
        <f t="shared" ca="1" si="32"/>
        <v/>
      </c>
      <c r="S80" s="94" t="str">
        <f t="shared" ca="1" si="33"/>
        <v/>
      </c>
      <c r="T80" s="94" t="str">
        <f t="shared" ca="1" si="34"/>
        <v/>
      </c>
      <c r="U80" s="34"/>
      <c r="V80" s="94" t="str">
        <f t="shared" ca="1" si="35"/>
        <v/>
      </c>
      <c r="W80" s="34" t="str">
        <f t="shared" ca="1" si="36"/>
        <v/>
      </c>
      <c r="X80" s="34" t="str">
        <f t="shared" ca="1" si="37"/>
        <v/>
      </c>
      <c r="Y80" s="34" t="str">
        <f t="shared" ca="1" si="38"/>
        <v/>
      </c>
      <c r="Z80" s="34" t="str">
        <f t="shared" ca="1" si="39"/>
        <v/>
      </c>
      <c r="AA80" s="34"/>
      <c r="AB80" s="34" t="str">
        <f t="shared" ca="1" si="40"/>
        <v/>
      </c>
      <c r="AC80" s="34" t="str">
        <f ca="1">IF(ISNUMBER(D80), AB80*(Return), "")</f>
        <v/>
      </c>
      <c r="AD80" s="34" t="str">
        <f t="shared" ca="1" si="41"/>
        <v/>
      </c>
      <c r="AE80" s="34" t="str">
        <f t="shared" ca="1" si="42"/>
        <v/>
      </c>
    </row>
    <row r="81" spans="3:31" x14ac:dyDescent="0.25">
      <c r="C81" t="str">
        <f t="shared" ca="1" si="25"/>
        <v/>
      </c>
      <c r="D81" t="str">
        <f t="shared" ca="1" si="43"/>
        <v/>
      </c>
      <c r="E81" s="34" t="str">
        <f ca="1">IF(ISNUMBER(D81), E80*(1+Inflation+Productivity), "")</f>
        <v/>
      </c>
      <c r="F81" s="34" t="str">
        <f t="shared" ca="1" si="26"/>
        <v/>
      </c>
      <c r="G81" s="109" t="str">
        <f t="shared" ca="1" si="27"/>
        <v/>
      </c>
      <c r="H81" s="34"/>
      <c r="I81" s="34"/>
      <c r="J81" s="34"/>
      <c r="K81" s="34" t="str">
        <f ca="1">IF(ISNUMBER(D81), MIN(0.0188*E81, 0.0188*47400*(1+Inflation)^(D81-Current_Age)), "")</f>
        <v/>
      </c>
      <c r="L81" s="34" t="str">
        <f t="shared" ca="1" si="28"/>
        <v/>
      </c>
      <c r="M81" s="34"/>
      <c r="N81" s="34" t="str">
        <f t="shared" ca="1" si="29"/>
        <v/>
      </c>
      <c r="O81" s="34"/>
      <c r="P81" s="94" t="str">
        <f t="shared" ca="1" si="30"/>
        <v/>
      </c>
      <c r="Q81" s="94" t="str">
        <f t="shared" ca="1" si="31"/>
        <v/>
      </c>
      <c r="R81" s="94" t="str">
        <f t="shared" ca="1" si="32"/>
        <v/>
      </c>
      <c r="S81" s="94" t="str">
        <f t="shared" ca="1" si="33"/>
        <v/>
      </c>
      <c r="T81" s="94" t="str">
        <f t="shared" ca="1" si="34"/>
        <v/>
      </c>
      <c r="U81" s="34"/>
      <c r="V81" s="94" t="str">
        <f t="shared" ca="1" si="35"/>
        <v/>
      </c>
      <c r="W81" s="34" t="str">
        <f t="shared" ca="1" si="36"/>
        <v/>
      </c>
      <c r="X81" s="34" t="str">
        <f t="shared" ca="1" si="37"/>
        <v/>
      </c>
      <c r="Y81" s="34" t="str">
        <f t="shared" ca="1" si="38"/>
        <v/>
      </c>
      <c r="Z81" s="34" t="str">
        <f t="shared" ca="1" si="39"/>
        <v/>
      </c>
      <c r="AA81" s="34"/>
      <c r="AB81" s="34" t="str">
        <f t="shared" ca="1" si="40"/>
        <v/>
      </c>
      <c r="AC81" s="34" t="str">
        <f ca="1">IF(ISNUMBER(D81), AB81*(Return), "")</f>
        <v/>
      </c>
      <c r="AD81" s="34" t="str">
        <f t="shared" ca="1" si="41"/>
        <v/>
      </c>
      <c r="AE81" s="34" t="str">
        <f t="shared" ca="1" si="42"/>
        <v/>
      </c>
    </row>
    <row r="82" spans="3:31" x14ac:dyDescent="0.25">
      <c r="C82" t="str">
        <f t="shared" ca="1" si="25"/>
        <v/>
      </c>
      <c r="D82" t="str">
        <f t="shared" ca="1" si="43"/>
        <v/>
      </c>
      <c r="E82" s="34" t="str">
        <f ca="1">IF(ISNUMBER(D82), E81*(1+Inflation+Productivity), "")</f>
        <v/>
      </c>
      <c r="F82" s="34" t="str">
        <f t="shared" ca="1" si="26"/>
        <v/>
      </c>
      <c r="G82" s="109" t="str">
        <f t="shared" ca="1" si="27"/>
        <v/>
      </c>
      <c r="H82" s="34"/>
      <c r="I82" s="34"/>
      <c r="J82" s="34"/>
      <c r="K82" s="34" t="str">
        <f ca="1">IF(ISNUMBER(D82), MIN(0.0188*E82, 0.0188*47400*(1+Inflation)^(D82-Current_Age)), "")</f>
        <v/>
      </c>
      <c r="L82" s="34" t="str">
        <f t="shared" ca="1" si="28"/>
        <v/>
      </c>
      <c r="M82" s="34"/>
      <c r="N82" s="34" t="str">
        <f t="shared" ca="1" si="29"/>
        <v/>
      </c>
      <c r="O82" s="34"/>
      <c r="P82" s="94" t="str">
        <f t="shared" ca="1" si="30"/>
        <v/>
      </c>
      <c r="Q82" s="94" t="str">
        <f t="shared" ca="1" si="31"/>
        <v/>
      </c>
      <c r="R82" s="94" t="str">
        <f t="shared" ca="1" si="32"/>
        <v/>
      </c>
      <c r="S82" s="94" t="str">
        <f t="shared" ca="1" si="33"/>
        <v/>
      </c>
      <c r="T82" s="94" t="str">
        <f t="shared" ca="1" si="34"/>
        <v/>
      </c>
      <c r="U82" s="34"/>
      <c r="V82" s="94" t="str">
        <f t="shared" ca="1" si="35"/>
        <v/>
      </c>
      <c r="W82" s="34" t="str">
        <f t="shared" ca="1" si="36"/>
        <v/>
      </c>
      <c r="X82" s="34" t="str">
        <f t="shared" ca="1" si="37"/>
        <v/>
      </c>
      <c r="Y82" s="34" t="str">
        <f t="shared" ca="1" si="38"/>
        <v/>
      </c>
      <c r="Z82" s="34" t="str">
        <f t="shared" ca="1" si="39"/>
        <v/>
      </c>
      <c r="AA82" s="34"/>
      <c r="AB82" s="34" t="str">
        <f t="shared" ca="1" si="40"/>
        <v/>
      </c>
      <c r="AC82" s="34" t="str">
        <f ca="1">IF(ISNUMBER(D82), AB82*(Return), "")</f>
        <v/>
      </c>
      <c r="AD82" s="34" t="str">
        <f t="shared" ca="1" si="41"/>
        <v/>
      </c>
      <c r="AE82" s="34" t="str">
        <f t="shared" ca="1" si="42"/>
        <v/>
      </c>
    </row>
    <row r="83" spans="3:31" x14ac:dyDescent="0.25">
      <c r="C83" t="str">
        <f t="shared" ca="1" si="25"/>
        <v/>
      </c>
      <c r="D83" t="str">
        <f t="shared" ca="1" si="43"/>
        <v/>
      </c>
      <c r="E83" s="34" t="str">
        <f ca="1">IF(ISNUMBER(D83), E82*(1+Inflation+Productivity), "")</f>
        <v/>
      </c>
      <c r="F83" s="34" t="str">
        <f t="shared" ca="1" si="26"/>
        <v/>
      </c>
      <c r="G83" s="109" t="str">
        <f t="shared" ca="1" si="27"/>
        <v/>
      </c>
      <c r="H83" s="34"/>
      <c r="I83" s="34"/>
      <c r="J83" s="34"/>
      <c r="K83" s="34" t="str">
        <f ca="1">IF(ISNUMBER(D83), MIN(0.0188*E83, 0.0188*47400*(1+Inflation)^(D83-Current_Age)), "")</f>
        <v/>
      </c>
      <c r="L83" s="34" t="str">
        <f t="shared" ca="1" si="28"/>
        <v/>
      </c>
      <c r="M83" s="34"/>
      <c r="N83" s="34" t="str">
        <f t="shared" ca="1" si="29"/>
        <v/>
      </c>
      <c r="O83" s="34"/>
      <c r="P83" s="94" t="str">
        <f t="shared" ca="1" si="30"/>
        <v/>
      </c>
      <c r="Q83" s="94" t="str">
        <f t="shared" ca="1" si="31"/>
        <v/>
      </c>
      <c r="R83" s="94" t="str">
        <f t="shared" ca="1" si="32"/>
        <v/>
      </c>
      <c r="S83" s="94" t="str">
        <f t="shared" ca="1" si="33"/>
        <v/>
      </c>
      <c r="T83" s="94" t="str">
        <f t="shared" ca="1" si="34"/>
        <v/>
      </c>
      <c r="U83" s="34"/>
      <c r="V83" s="94" t="str">
        <f t="shared" ca="1" si="35"/>
        <v/>
      </c>
      <c r="W83" s="34" t="str">
        <f t="shared" ca="1" si="36"/>
        <v/>
      </c>
      <c r="X83" s="34" t="str">
        <f t="shared" ca="1" si="37"/>
        <v/>
      </c>
      <c r="Y83" s="34" t="str">
        <f t="shared" ca="1" si="38"/>
        <v/>
      </c>
      <c r="Z83" s="34" t="str">
        <f t="shared" ca="1" si="39"/>
        <v/>
      </c>
      <c r="AA83" s="34"/>
      <c r="AB83" s="34" t="str">
        <f t="shared" ca="1" si="40"/>
        <v/>
      </c>
      <c r="AC83" s="34" t="str">
        <f ca="1">IF(ISNUMBER(D83), AB83*(Return), "")</f>
        <v/>
      </c>
      <c r="AD83" s="34" t="str">
        <f t="shared" ca="1" si="41"/>
        <v/>
      </c>
      <c r="AE83" s="34" t="str">
        <f t="shared" ca="1" si="42"/>
        <v/>
      </c>
    </row>
    <row r="84" spans="3:31" x14ac:dyDescent="0.25">
      <c r="C84" t="str">
        <f t="shared" ca="1" si="25"/>
        <v/>
      </c>
      <c r="D84" t="str">
        <f t="shared" ca="1" si="43"/>
        <v/>
      </c>
      <c r="E84" s="34" t="str">
        <f ca="1">IF(ISNUMBER(D84), E83*(1+Inflation+Productivity), "")</f>
        <v/>
      </c>
      <c r="F84" s="34" t="str">
        <f t="shared" ca="1" si="26"/>
        <v/>
      </c>
      <c r="G84" s="109" t="str">
        <f t="shared" ca="1" si="27"/>
        <v/>
      </c>
      <c r="H84" s="34"/>
      <c r="I84" s="34"/>
      <c r="J84" s="34"/>
      <c r="K84" s="34" t="str">
        <f ca="1">IF(ISNUMBER(D84), MIN(0.0188*E84, 0.0188*47400*(1+Inflation)^(D84-Current_Age)), "")</f>
        <v/>
      </c>
      <c r="L84" s="34" t="str">
        <f t="shared" ca="1" si="28"/>
        <v/>
      </c>
      <c r="M84" s="34"/>
      <c r="N84" s="34" t="str">
        <f t="shared" ca="1" si="29"/>
        <v/>
      </c>
      <c r="O84" s="34"/>
      <c r="P84" s="94" t="str">
        <f t="shared" ca="1" si="30"/>
        <v/>
      </c>
      <c r="Q84" s="94" t="str">
        <f t="shared" ca="1" si="31"/>
        <v/>
      </c>
      <c r="R84" s="94" t="str">
        <f t="shared" ca="1" si="32"/>
        <v/>
      </c>
      <c r="S84" s="94" t="str">
        <f t="shared" ca="1" si="33"/>
        <v/>
      </c>
      <c r="T84" s="94" t="str">
        <f t="shared" ca="1" si="34"/>
        <v/>
      </c>
      <c r="U84" s="34"/>
      <c r="V84" s="94" t="str">
        <f t="shared" ca="1" si="35"/>
        <v/>
      </c>
      <c r="W84" s="34" t="str">
        <f t="shared" ca="1" si="36"/>
        <v/>
      </c>
      <c r="X84" s="34" t="str">
        <f t="shared" ca="1" si="37"/>
        <v/>
      </c>
      <c r="Y84" s="34" t="str">
        <f t="shared" ca="1" si="38"/>
        <v/>
      </c>
      <c r="Z84" s="34" t="str">
        <f t="shared" ca="1" si="39"/>
        <v/>
      </c>
      <c r="AA84" s="34"/>
      <c r="AB84" s="34" t="str">
        <f t="shared" ca="1" si="40"/>
        <v/>
      </c>
      <c r="AC84" s="34" t="str">
        <f ca="1">IF(ISNUMBER(D84), AB84*(Return), "")</f>
        <v/>
      </c>
      <c r="AD84" s="34" t="str">
        <f t="shared" ca="1" si="41"/>
        <v/>
      </c>
      <c r="AE84" s="34" t="str">
        <f t="shared" ca="1" si="42"/>
        <v/>
      </c>
    </row>
    <row r="85" spans="3:31" x14ac:dyDescent="0.25">
      <c r="C85" t="str">
        <f t="shared" ca="1" si="25"/>
        <v/>
      </c>
      <c r="D85" t="str">
        <f t="shared" ca="1" si="43"/>
        <v/>
      </c>
      <c r="E85" s="34" t="str">
        <f ca="1">IF(ISNUMBER(D85), E84*(1+Inflation+Productivity), "")</f>
        <v/>
      </c>
      <c r="F85" s="34" t="str">
        <f t="shared" ca="1" si="26"/>
        <v/>
      </c>
      <c r="G85" s="109" t="str">
        <f t="shared" ca="1" si="27"/>
        <v/>
      </c>
      <c r="H85" s="34"/>
      <c r="I85" s="34"/>
      <c r="J85" s="34"/>
      <c r="K85" s="34" t="str">
        <f ca="1">IF(ISNUMBER(D85), MIN(0.0188*E85, 0.0188*47400*(1+Inflation)^(D85-Current_Age)), "")</f>
        <v/>
      </c>
      <c r="L85" s="34" t="str">
        <f t="shared" ca="1" si="28"/>
        <v/>
      </c>
      <c r="M85" s="34"/>
      <c r="N85" s="34" t="str">
        <f t="shared" ca="1" si="29"/>
        <v/>
      </c>
      <c r="O85" s="34"/>
      <c r="P85" s="94" t="str">
        <f t="shared" ca="1" si="30"/>
        <v/>
      </c>
      <c r="Q85" s="94" t="str">
        <f t="shared" ca="1" si="31"/>
        <v/>
      </c>
      <c r="R85" s="94" t="str">
        <f t="shared" ca="1" si="32"/>
        <v/>
      </c>
      <c r="S85" s="94" t="str">
        <f t="shared" ca="1" si="33"/>
        <v/>
      </c>
      <c r="T85" s="94" t="str">
        <f t="shared" ca="1" si="34"/>
        <v/>
      </c>
      <c r="U85" s="34"/>
      <c r="V85" s="94" t="str">
        <f t="shared" ca="1" si="35"/>
        <v/>
      </c>
      <c r="W85" s="34" t="str">
        <f t="shared" ca="1" si="36"/>
        <v/>
      </c>
      <c r="X85" s="34" t="str">
        <f t="shared" ca="1" si="37"/>
        <v/>
      </c>
      <c r="Y85" s="34" t="str">
        <f t="shared" ca="1" si="38"/>
        <v/>
      </c>
      <c r="Z85" s="34" t="str">
        <f t="shared" ca="1" si="39"/>
        <v/>
      </c>
      <c r="AA85" s="34"/>
      <c r="AB85" s="34" t="str">
        <f t="shared" ca="1" si="40"/>
        <v/>
      </c>
      <c r="AC85" s="34" t="str">
        <f ca="1">IF(ISNUMBER(D85), AB85*(Return), "")</f>
        <v/>
      </c>
      <c r="AD85" s="34" t="str">
        <f t="shared" ca="1" si="41"/>
        <v/>
      </c>
      <c r="AE85" s="34" t="str">
        <f t="shared" ca="1" si="42"/>
        <v/>
      </c>
    </row>
    <row r="86" spans="3:31" x14ac:dyDescent="0.25">
      <c r="C86" t="str">
        <f t="shared" ca="1" si="25"/>
        <v/>
      </c>
      <c r="D86" t="str">
        <f t="shared" ca="1" si="43"/>
        <v/>
      </c>
      <c r="E86" s="34" t="str">
        <f ca="1">IF(ISNUMBER(D86), E85*(1+Inflation+Productivity), "")</f>
        <v/>
      </c>
      <c r="F86" s="34" t="str">
        <f t="shared" ca="1" si="26"/>
        <v/>
      </c>
      <c r="G86" s="109" t="str">
        <f t="shared" ca="1" si="27"/>
        <v/>
      </c>
      <c r="H86" s="34"/>
      <c r="I86" s="34"/>
      <c r="J86" s="34"/>
      <c r="K86" s="34" t="str">
        <f ca="1">IF(ISNUMBER(D86), MIN(0.0188*E86, 0.0188*47400*(1+Inflation)^(D86-Current_Age)), "")</f>
        <v/>
      </c>
      <c r="L86" s="34" t="str">
        <f t="shared" ca="1" si="28"/>
        <v/>
      </c>
      <c r="M86" s="34"/>
      <c r="N86" s="34" t="str">
        <f t="shared" ca="1" si="29"/>
        <v/>
      </c>
      <c r="O86" s="34"/>
      <c r="P86" s="94" t="str">
        <f t="shared" ca="1" si="30"/>
        <v/>
      </c>
      <c r="Q86" s="94" t="str">
        <f t="shared" ca="1" si="31"/>
        <v/>
      </c>
      <c r="R86" s="94" t="str">
        <f t="shared" ca="1" si="32"/>
        <v/>
      </c>
      <c r="S86" s="94" t="str">
        <f t="shared" ca="1" si="33"/>
        <v/>
      </c>
      <c r="T86" s="94" t="str">
        <f t="shared" ca="1" si="34"/>
        <v/>
      </c>
      <c r="U86" s="34"/>
      <c r="V86" s="94" t="str">
        <f t="shared" ca="1" si="35"/>
        <v/>
      </c>
      <c r="W86" s="34" t="str">
        <f t="shared" ca="1" si="36"/>
        <v/>
      </c>
      <c r="X86" s="34" t="str">
        <f t="shared" ca="1" si="37"/>
        <v/>
      </c>
      <c r="Y86" s="34" t="str">
        <f t="shared" ca="1" si="38"/>
        <v/>
      </c>
      <c r="Z86" s="34" t="str">
        <f t="shared" ca="1" si="39"/>
        <v/>
      </c>
      <c r="AA86" s="34"/>
      <c r="AB86" s="34" t="str">
        <f t="shared" ca="1" si="40"/>
        <v/>
      </c>
      <c r="AC86" s="34" t="str">
        <f ca="1">IF(ISNUMBER(D86), AB86*(Return), "")</f>
        <v/>
      </c>
      <c r="AD86" s="34" t="str">
        <f t="shared" ca="1" si="41"/>
        <v/>
      </c>
      <c r="AE86" s="34" t="str">
        <f t="shared" ca="1" si="42"/>
        <v/>
      </c>
    </row>
    <row r="87" spans="3:31" x14ac:dyDescent="0.25">
      <c r="C87" t="str">
        <f t="shared" ca="1" si="25"/>
        <v/>
      </c>
      <c r="D87" t="str">
        <f t="shared" ca="1" si="43"/>
        <v/>
      </c>
      <c r="E87" s="34" t="str">
        <f ca="1">IF(ISNUMBER(D87), E86*(1+Inflation+Productivity), "")</f>
        <v/>
      </c>
      <c r="F87" s="34" t="str">
        <f t="shared" ca="1" si="26"/>
        <v/>
      </c>
      <c r="G87" s="109" t="str">
        <f t="shared" ca="1" si="27"/>
        <v/>
      </c>
      <c r="H87" s="34"/>
      <c r="I87" s="34"/>
      <c r="J87" s="34"/>
      <c r="K87" s="34" t="str">
        <f ca="1">IF(ISNUMBER(D87), MIN(0.0188*E87, 0.0188*47400*(1+Inflation)^(D87-Current_Age)), "")</f>
        <v/>
      </c>
      <c r="L87" s="34" t="str">
        <f t="shared" ca="1" si="28"/>
        <v/>
      </c>
      <c r="M87" s="34"/>
      <c r="N87" s="34" t="str">
        <f t="shared" ca="1" si="29"/>
        <v/>
      </c>
      <c r="O87" s="34"/>
      <c r="P87" s="94" t="str">
        <f t="shared" ca="1" si="30"/>
        <v/>
      </c>
      <c r="Q87" s="94" t="str">
        <f t="shared" ca="1" si="31"/>
        <v/>
      </c>
      <c r="R87" s="94" t="str">
        <f t="shared" ca="1" si="32"/>
        <v/>
      </c>
      <c r="S87" s="94" t="str">
        <f t="shared" ca="1" si="33"/>
        <v/>
      </c>
      <c r="T87" s="94" t="str">
        <f t="shared" ca="1" si="34"/>
        <v/>
      </c>
      <c r="U87" s="34"/>
      <c r="V87" s="94" t="str">
        <f t="shared" ca="1" si="35"/>
        <v/>
      </c>
      <c r="W87" s="34" t="str">
        <f t="shared" ca="1" si="36"/>
        <v/>
      </c>
      <c r="X87" s="34" t="str">
        <f t="shared" ca="1" si="37"/>
        <v/>
      </c>
      <c r="Y87" s="34" t="str">
        <f t="shared" ca="1" si="38"/>
        <v/>
      </c>
      <c r="Z87" s="34" t="str">
        <f t="shared" ca="1" si="39"/>
        <v/>
      </c>
      <c r="AA87" s="34"/>
      <c r="AB87" s="34" t="str">
        <f t="shared" ca="1" si="40"/>
        <v/>
      </c>
      <c r="AC87" s="34" t="str">
        <f ca="1">IF(ISNUMBER(D87), AB87*(Return), "")</f>
        <v/>
      </c>
      <c r="AD87" s="34" t="str">
        <f t="shared" ca="1" si="41"/>
        <v/>
      </c>
      <c r="AE87" s="34" t="str">
        <f t="shared" ca="1" si="42"/>
        <v/>
      </c>
    </row>
    <row r="88" spans="3:31" x14ac:dyDescent="0.25">
      <c r="C88" t="str">
        <f t="shared" ca="1" si="25"/>
        <v/>
      </c>
      <c r="D88" t="str">
        <f t="shared" ca="1" si="43"/>
        <v/>
      </c>
      <c r="E88" s="34" t="str">
        <f ca="1">IF(ISNUMBER(D88), E87*(1+Inflation+Productivity), "")</f>
        <v/>
      </c>
      <c r="F88" s="34" t="str">
        <f t="shared" ca="1" si="26"/>
        <v/>
      </c>
      <c r="G88" s="109" t="str">
        <f t="shared" ca="1" si="27"/>
        <v/>
      </c>
      <c r="H88" s="34"/>
      <c r="I88" s="34"/>
      <c r="J88" s="34"/>
      <c r="K88" s="34" t="str">
        <f ca="1">IF(ISNUMBER(D88), MIN(0.0188*E88, 0.0188*47400*(1+Inflation)^(D88-Current_Age)), "")</f>
        <v/>
      </c>
      <c r="L88" s="34" t="str">
        <f t="shared" ca="1" si="28"/>
        <v/>
      </c>
      <c r="M88" s="34"/>
      <c r="N88" s="34" t="str">
        <f t="shared" ca="1" si="29"/>
        <v/>
      </c>
      <c r="O88" s="34"/>
      <c r="P88" s="94" t="str">
        <f t="shared" ca="1" si="30"/>
        <v/>
      </c>
      <c r="Q88" s="94" t="str">
        <f t="shared" ca="1" si="31"/>
        <v/>
      </c>
      <c r="R88" s="94" t="str">
        <f t="shared" ca="1" si="32"/>
        <v/>
      </c>
      <c r="S88" s="94" t="str">
        <f t="shared" ca="1" si="33"/>
        <v/>
      </c>
      <c r="T88" s="94" t="str">
        <f t="shared" ca="1" si="34"/>
        <v/>
      </c>
      <c r="U88" s="34"/>
      <c r="V88" s="94" t="str">
        <f t="shared" ca="1" si="35"/>
        <v/>
      </c>
      <c r="W88" s="34" t="str">
        <f t="shared" ca="1" si="36"/>
        <v/>
      </c>
      <c r="X88" s="34" t="str">
        <f t="shared" ca="1" si="37"/>
        <v/>
      </c>
      <c r="Y88" s="34" t="str">
        <f t="shared" ca="1" si="38"/>
        <v/>
      </c>
      <c r="Z88" s="34" t="str">
        <f t="shared" ca="1" si="39"/>
        <v/>
      </c>
      <c r="AA88" s="34"/>
      <c r="AB88" s="34" t="str">
        <f t="shared" ca="1" si="40"/>
        <v/>
      </c>
      <c r="AC88" s="34" t="str">
        <f ca="1">IF(ISNUMBER(D88), AB88*(Return), "")</f>
        <v/>
      </c>
      <c r="AD88" s="34" t="str">
        <f t="shared" ca="1" si="41"/>
        <v/>
      </c>
      <c r="AE88" s="34" t="str">
        <f t="shared" ca="1" si="42"/>
        <v/>
      </c>
    </row>
    <row r="89" spans="3:31" x14ac:dyDescent="0.25">
      <c r="C89" t="str">
        <f t="shared" ca="1" si="25"/>
        <v/>
      </c>
      <c r="D89" t="str">
        <f t="shared" ca="1" si="43"/>
        <v/>
      </c>
      <c r="E89" s="34" t="str">
        <f ca="1">IF(ISNUMBER(D89), E88*(1+Inflation+Productivity), "")</f>
        <v/>
      </c>
      <c r="F89" s="34" t="str">
        <f t="shared" ca="1" si="26"/>
        <v/>
      </c>
      <c r="G89" s="109" t="str">
        <f t="shared" ca="1" si="27"/>
        <v/>
      </c>
      <c r="H89" s="34"/>
      <c r="I89" s="34"/>
      <c r="J89" s="34"/>
      <c r="K89" s="34" t="str">
        <f ca="1">IF(ISNUMBER(D89), MIN(0.0188*E89, 0.0188*47400*(1+Inflation)^(D89-Current_Age)), "")</f>
        <v/>
      </c>
      <c r="L89" s="34" t="str">
        <f t="shared" ca="1" si="28"/>
        <v/>
      </c>
      <c r="M89" s="34"/>
      <c r="N89" s="34" t="str">
        <f t="shared" ca="1" si="29"/>
        <v/>
      </c>
      <c r="O89" s="34"/>
      <c r="P89" s="94" t="str">
        <f t="shared" ca="1" si="30"/>
        <v/>
      </c>
      <c r="Q89" s="94" t="str">
        <f t="shared" ca="1" si="31"/>
        <v/>
      </c>
      <c r="R89" s="94" t="str">
        <f t="shared" ca="1" si="32"/>
        <v/>
      </c>
      <c r="S89" s="94" t="str">
        <f t="shared" ca="1" si="33"/>
        <v/>
      </c>
      <c r="T89" s="94" t="str">
        <f t="shared" ca="1" si="34"/>
        <v/>
      </c>
      <c r="U89" s="34"/>
      <c r="V89" s="94" t="str">
        <f t="shared" ca="1" si="35"/>
        <v/>
      </c>
      <c r="W89" s="34" t="str">
        <f t="shared" ca="1" si="36"/>
        <v/>
      </c>
      <c r="X89" s="34" t="str">
        <f t="shared" ca="1" si="37"/>
        <v/>
      </c>
      <c r="Y89" s="34" t="str">
        <f t="shared" ca="1" si="38"/>
        <v/>
      </c>
      <c r="Z89" s="34" t="str">
        <f t="shared" ca="1" si="39"/>
        <v/>
      </c>
      <c r="AA89" s="34"/>
      <c r="AB89" s="34" t="str">
        <f t="shared" ca="1" si="40"/>
        <v/>
      </c>
      <c r="AC89" s="34" t="str">
        <f ca="1">IF(ISNUMBER(D89), AB89*(Return), "")</f>
        <v/>
      </c>
      <c r="AD89" s="34" t="str">
        <f t="shared" ca="1" si="41"/>
        <v/>
      </c>
      <c r="AE89" s="34" t="str">
        <f t="shared" ca="1" si="42"/>
        <v/>
      </c>
    </row>
    <row r="90" spans="3:31" x14ac:dyDescent="0.25">
      <c r="C90" t="str">
        <f t="shared" ca="1" si="25"/>
        <v/>
      </c>
      <c r="D90" t="str">
        <f t="shared" ca="1" si="43"/>
        <v/>
      </c>
      <c r="E90" s="34" t="str">
        <f ca="1">IF(ISNUMBER(D90), E89*(1+Inflation+Productivity), "")</f>
        <v/>
      </c>
      <c r="F90" s="34" t="str">
        <f t="shared" ca="1" si="26"/>
        <v/>
      </c>
      <c r="G90" s="109" t="str">
        <f t="shared" ca="1" si="27"/>
        <v/>
      </c>
      <c r="H90" s="34"/>
      <c r="I90" s="34"/>
      <c r="J90" s="34"/>
      <c r="K90" s="34" t="str">
        <f ca="1">IF(ISNUMBER(D90), MIN(0.0188*E90, 0.0188*47400*(1+Inflation)^(D90-Current_Age)), "")</f>
        <v/>
      </c>
      <c r="L90" s="34" t="str">
        <f t="shared" ca="1" si="28"/>
        <v/>
      </c>
      <c r="M90" s="34"/>
      <c r="N90" s="34" t="str">
        <f t="shared" ca="1" si="29"/>
        <v/>
      </c>
      <c r="O90" s="34"/>
      <c r="P90" s="94" t="str">
        <f t="shared" ca="1" si="30"/>
        <v/>
      </c>
      <c r="Q90" s="94" t="str">
        <f t="shared" ca="1" si="31"/>
        <v/>
      </c>
      <c r="R90" s="94" t="str">
        <f t="shared" ca="1" si="32"/>
        <v/>
      </c>
      <c r="S90" s="94" t="str">
        <f t="shared" ca="1" si="33"/>
        <v/>
      </c>
      <c r="T90" s="94" t="str">
        <f t="shared" ca="1" si="34"/>
        <v/>
      </c>
      <c r="U90" s="34"/>
      <c r="V90" s="94" t="str">
        <f t="shared" ca="1" si="35"/>
        <v/>
      </c>
      <c r="W90" s="34" t="str">
        <f t="shared" ca="1" si="36"/>
        <v/>
      </c>
      <c r="X90" s="34" t="str">
        <f t="shared" ca="1" si="37"/>
        <v/>
      </c>
      <c r="Y90" s="34" t="str">
        <f t="shared" ca="1" si="38"/>
        <v/>
      </c>
      <c r="Z90" s="34" t="str">
        <f t="shared" ca="1" si="39"/>
        <v/>
      </c>
      <c r="AA90" s="34"/>
      <c r="AB90" s="34" t="str">
        <f t="shared" ca="1" si="40"/>
        <v/>
      </c>
      <c r="AC90" s="34" t="str">
        <f ca="1">IF(ISNUMBER(D90), AB90*(Return), "")</f>
        <v/>
      </c>
      <c r="AD90" s="34" t="str">
        <f t="shared" ca="1" si="41"/>
        <v/>
      </c>
      <c r="AE90" s="34" t="str">
        <f t="shared" ca="1" si="42"/>
        <v/>
      </c>
    </row>
    <row r="91" spans="3:31" x14ac:dyDescent="0.25">
      <c r="C91" t="str">
        <f t="shared" ca="1" si="25"/>
        <v/>
      </c>
      <c r="D91" t="str">
        <f t="shared" ca="1" si="43"/>
        <v/>
      </c>
      <c r="E91" s="34" t="str">
        <f ca="1">IF(ISNUMBER(D91), E90*(1+Inflation+Productivity), "")</f>
        <v/>
      </c>
      <c r="F91" s="34" t="str">
        <f t="shared" ca="1" si="26"/>
        <v/>
      </c>
      <c r="G91" s="109" t="str">
        <f t="shared" ca="1" si="27"/>
        <v/>
      </c>
      <c r="H91" s="34"/>
      <c r="I91" s="34"/>
      <c r="J91" s="34"/>
      <c r="K91" s="34" t="str">
        <f ca="1">IF(ISNUMBER(D91), MIN(0.0188*E91, 0.0188*47400*(1+Inflation)^(D91-Current_Age)), "")</f>
        <v/>
      </c>
      <c r="L91" s="34" t="str">
        <f t="shared" ca="1" si="28"/>
        <v/>
      </c>
      <c r="M91" s="34"/>
      <c r="N91" s="34" t="str">
        <f t="shared" ca="1" si="29"/>
        <v/>
      </c>
      <c r="O91" s="34"/>
      <c r="P91" s="94" t="str">
        <f t="shared" ca="1" si="30"/>
        <v/>
      </c>
      <c r="Q91" s="94" t="str">
        <f t="shared" ca="1" si="31"/>
        <v/>
      </c>
      <c r="R91" s="94" t="str">
        <f t="shared" ca="1" si="32"/>
        <v/>
      </c>
      <c r="S91" s="94" t="str">
        <f t="shared" ca="1" si="33"/>
        <v/>
      </c>
      <c r="T91" s="94" t="str">
        <f t="shared" ca="1" si="34"/>
        <v/>
      </c>
      <c r="U91" s="34"/>
      <c r="V91" s="94" t="str">
        <f t="shared" ca="1" si="35"/>
        <v/>
      </c>
      <c r="W91" s="34" t="str">
        <f t="shared" ca="1" si="36"/>
        <v/>
      </c>
      <c r="X91" s="34" t="str">
        <f t="shared" ca="1" si="37"/>
        <v/>
      </c>
      <c r="Y91" s="34" t="str">
        <f t="shared" ca="1" si="38"/>
        <v/>
      </c>
      <c r="Z91" s="34" t="str">
        <f t="shared" ca="1" si="39"/>
        <v/>
      </c>
      <c r="AA91" s="34"/>
      <c r="AB91" s="34" t="str">
        <f t="shared" ca="1" si="40"/>
        <v/>
      </c>
      <c r="AC91" s="34" t="str">
        <f ca="1">IF(ISNUMBER(D91), AB91*(Return), "")</f>
        <v/>
      </c>
      <c r="AD91" s="34" t="str">
        <f t="shared" ca="1" si="41"/>
        <v/>
      </c>
      <c r="AE91" s="34" t="str">
        <f t="shared" ca="1" si="42"/>
        <v/>
      </c>
    </row>
    <row r="92" spans="3:31" x14ac:dyDescent="0.25">
      <c r="C92" t="str">
        <f t="shared" ca="1" si="25"/>
        <v/>
      </c>
      <c r="D92" t="str">
        <f t="shared" ca="1" si="43"/>
        <v/>
      </c>
      <c r="E92" s="34" t="str">
        <f ca="1">IF(ISNUMBER(D92), E91*(1+Inflation+Productivity), "")</f>
        <v/>
      </c>
      <c r="F92" s="34" t="str">
        <f t="shared" ca="1" si="26"/>
        <v/>
      </c>
      <c r="G92" s="109" t="str">
        <f t="shared" ca="1" si="27"/>
        <v/>
      </c>
      <c r="H92" s="34"/>
      <c r="I92" s="34"/>
      <c r="J92" s="34"/>
      <c r="K92" s="34" t="str">
        <f ca="1">IF(ISNUMBER(D92), MIN(0.0188*E92, 0.0188*47400*(1+Inflation)^(D92-Current_Age)), "")</f>
        <v/>
      </c>
      <c r="L92" s="34" t="str">
        <f t="shared" ca="1" si="28"/>
        <v/>
      </c>
      <c r="M92" s="34"/>
      <c r="N92" s="34" t="str">
        <f t="shared" ca="1" si="29"/>
        <v/>
      </c>
      <c r="O92" s="34"/>
      <c r="P92" s="94" t="str">
        <f t="shared" ca="1" si="30"/>
        <v/>
      </c>
      <c r="Q92" s="94" t="str">
        <f t="shared" ca="1" si="31"/>
        <v/>
      </c>
      <c r="R92" s="94" t="str">
        <f t="shared" ca="1" si="32"/>
        <v/>
      </c>
      <c r="S92" s="94" t="str">
        <f t="shared" ca="1" si="33"/>
        <v/>
      </c>
      <c r="T92" s="94" t="str">
        <f t="shared" ca="1" si="34"/>
        <v/>
      </c>
      <c r="U92" s="34"/>
      <c r="V92" s="94" t="str">
        <f t="shared" ca="1" si="35"/>
        <v/>
      </c>
      <c r="W92" s="34" t="str">
        <f t="shared" ca="1" si="36"/>
        <v/>
      </c>
      <c r="X92" s="34" t="str">
        <f t="shared" ca="1" si="37"/>
        <v/>
      </c>
      <c r="Y92" s="34" t="str">
        <f t="shared" ca="1" si="38"/>
        <v/>
      </c>
      <c r="Z92" s="34" t="str">
        <f t="shared" ca="1" si="39"/>
        <v/>
      </c>
      <c r="AA92" s="34"/>
      <c r="AB92" s="34" t="str">
        <f t="shared" ca="1" si="40"/>
        <v/>
      </c>
      <c r="AC92" s="34" t="str">
        <f ca="1">IF(ISNUMBER(D92), AB92*(Return), "")</f>
        <v/>
      </c>
      <c r="AD92" s="34" t="str">
        <f t="shared" ca="1" si="41"/>
        <v/>
      </c>
      <c r="AE92" s="34" t="str">
        <f t="shared" ca="1" si="42"/>
        <v/>
      </c>
    </row>
    <row r="93" spans="3:31" x14ac:dyDescent="0.25">
      <c r="C93" t="str">
        <f t="shared" ca="1" si="25"/>
        <v/>
      </c>
      <c r="D93" t="str">
        <f t="shared" ca="1" si="43"/>
        <v/>
      </c>
      <c r="E93" s="34" t="str">
        <f ca="1">IF(ISNUMBER(D93), E92*(1+Inflation+Productivity), "")</f>
        <v/>
      </c>
      <c r="F93" s="34" t="str">
        <f t="shared" ca="1" si="26"/>
        <v/>
      </c>
      <c r="G93" s="109" t="str">
        <f t="shared" ca="1" si="27"/>
        <v/>
      </c>
      <c r="H93" s="34"/>
      <c r="I93" s="34"/>
      <c r="J93" s="34"/>
      <c r="K93" s="34" t="str">
        <f ca="1">IF(ISNUMBER(D93), MIN(0.0188*E93, 0.0188*47400*(1+Inflation)^(D93-Current_Age)), "")</f>
        <v/>
      </c>
      <c r="L93" s="34" t="str">
        <f t="shared" ca="1" si="28"/>
        <v/>
      </c>
      <c r="M93" s="34"/>
      <c r="N93" s="34" t="str">
        <f t="shared" ca="1" si="29"/>
        <v/>
      </c>
      <c r="O93" s="34"/>
      <c r="P93" s="94" t="str">
        <f t="shared" ca="1" si="30"/>
        <v/>
      </c>
      <c r="Q93" s="94" t="str">
        <f t="shared" ca="1" si="31"/>
        <v/>
      </c>
      <c r="R93" s="94" t="str">
        <f t="shared" ca="1" si="32"/>
        <v/>
      </c>
      <c r="S93" s="94" t="str">
        <f t="shared" ca="1" si="33"/>
        <v/>
      </c>
      <c r="T93" s="94" t="str">
        <f t="shared" ca="1" si="34"/>
        <v/>
      </c>
      <c r="U93" s="34"/>
      <c r="V93" s="94" t="str">
        <f t="shared" ca="1" si="35"/>
        <v/>
      </c>
      <c r="W93" s="34" t="str">
        <f t="shared" ca="1" si="36"/>
        <v/>
      </c>
      <c r="X93" s="34" t="str">
        <f t="shared" ca="1" si="37"/>
        <v/>
      </c>
      <c r="Y93" s="34" t="str">
        <f t="shared" ca="1" si="38"/>
        <v/>
      </c>
      <c r="Z93" s="34" t="str">
        <f t="shared" ca="1" si="39"/>
        <v/>
      </c>
      <c r="AA93" s="34"/>
      <c r="AB93" s="34" t="str">
        <f t="shared" ca="1" si="40"/>
        <v/>
      </c>
      <c r="AC93" s="34" t="str">
        <f ca="1">IF(ISNUMBER(D93), AB93*(Return), "")</f>
        <v/>
      </c>
      <c r="AD93" s="34" t="str">
        <f t="shared" ca="1" si="41"/>
        <v/>
      </c>
      <c r="AE93" s="34" t="str">
        <f t="shared" ca="1" si="42"/>
        <v/>
      </c>
    </row>
    <row r="94" spans="3:31" x14ac:dyDescent="0.25">
      <c r="C94" t="str">
        <f t="shared" ca="1" si="25"/>
        <v/>
      </c>
      <c r="D94" t="str">
        <f t="shared" ca="1" si="43"/>
        <v/>
      </c>
      <c r="E94" s="34" t="str">
        <f ca="1">IF(ISNUMBER(D94), E93*(1+Inflation+Productivity), "")</f>
        <v/>
      </c>
      <c r="F94" s="34" t="str">
        <f t="shared" ca="1" si="26"/>
        <v/>
      </c>
      <c r="G94" s="109" t="str">
        <f t="shared" ca="1" si="27"/>
        <v/>
      </c>
      <c r="H94" s="34"/>
      <c r="I94" s="34"/>
      <c r="J94" s="34"/>
      <c r="K94" s="34" t="str">
        <f ca="1">IF(ISNUMBER(D94), MIN(0.0188*E94, 0.0188*47400*(1+Inflation)^(D94-Current_Age)), "")</f>
        <v/>
      </c>
      <c r="L94" s="34" t="str">
        <f t="shared" ca="1" si="28"/>
        <v/>
      </c>
      <c r="M94" s="34"/>
      <c r="N94" s="34" t="str">
        <f t="shared" ca="1" si="29"/>
        <v/>
      </c>
      <c r="O94" s="34"/>
      <c r="P94" s="94" t="str">
        <f t="shared" ca="1" si="30"/>
        <v/>
      </c>
      <c r="Q94" s="94" t="str">
        <f t="shared" ca="1" si="31"/>
        <v/>
      </c>
      <c r="R94" s="94" t="str">
        <f t="shared" ca="1" si="32"/>
        <v/>
      </c>
      <c r="S94" s="94" t="str">
        <f t="shared" ca="1" si="33"/>
        <v/>
      </c>
      <c r="T94" s="94" t="str">
        <f t="shared" ca="1" si="34"/>
        <v/>
      </c>
      <c r="U94" s="34"/>
      <c r="V94" s="94" t="str">
        <f t="shared" ca="1" si="35"/>
        <v/>
      </c>
      <c r="W94" s="34" t="str">
        <f t="shared" ca="1" si="36"/>
        <v/>
      </c>
      <c r="X94" s="34" t="str">
        <f t="shared" ca="1" si="37"/>
        <v/>
      </c>
      <c r="Y94" s="34" t="str">
        <f t="shared" ca="1" si="38"/>
        <v/>
      </c>
      <c r="Z94" s="34" t="str">
        <f t="shared" ca="1" si="39"/>
        <v/>
      </c>
      <c r="AA94" s="34"/>
      <c r="AB94" s="34" t="str">
        <f t="shared" ca="1" si="40"/>
        <v/>
      </c>
      <c r="AC94" s="34" t="str">
        <f ca="1">IF(ISNUMBER(D94), AB94*(Return), "")</f>
        <v/>
      </c>
      <c r="AD94" s="34" t="str">
        <f t="shared" ca="1" si="41"/>
        <v/>
      </c>
      <c r="AE94" s="34" t="str">
        <f t="shared" ca="1" si="42"/>
        <v/>
      </c>
    </row>
    <row r="95" spans="3:31" x14ac:dyDescent="0.25">
      <c r="C95" t="str">
        <f t="shared" ca="1" si="25"/>
        <v/>
      </c>
      <c r="D95" t="str">
        <f t="shared" ca="1" si="43"/>
        <v/>
      </c>
      <c r="E95" s="34" t="str">
        <f ca="1">IF(ISNUMBER(D95), E94*(1+Inflation+Productivity), "")</f>
        <v/>
      </c>
      <c r="F95" s="34" t="str">
        <f t="shared" ca="1" si="26"/>
        <v/>
      </c>
      <c r="G95" s="109" t="str">
        <f t="shared" ca="1" si="27"/>
        <v/>
      </c>
      <c r="H95" s="34"/>
      <c r="I95" s="34"/>
      <c r="J95" s="34"/>
      <c r="K95" s="34" t="str">
        <f ca="1">IF(ISNUMBER(D95), MIN(0.0188*E95, 0.0188*47400*(1+Inflation)^(D95-Current_Age)), "")</f>
        <v/>
      </c>
      <c r="L95" s="34" t="str">
        <f t="shared" ca="1" si="28"/>
        <v/>
      </c>
      <c r="M95" s="34"/>
      <c r="N95" s="34" t="str">
        <f t="shared" ca="1" si="29"/>
        <v/>
      </c>
      <c r="O95" s="34"/>
      <c r="P95" s="94" t="str">
        <f t="shared" ca="1" si="30"/>
        <v/>
      </c>
      <c r="Q95" s="94" t="str">
        <f t="shared" ca="1" si="31"/>
        <v/>
      </c>
      <c r="R95" s="94" t="str">
        <f t="shared" ca="1" si="32"/>
        <v/>
      </c>
      <c r="S95" s="94" t="str">
        <f t="shared" ca="1" si="33"/>
        <v/>
      </c>
      <c r="T95" s="94" t="str">
        <f t="shared" ca="1" si="34"/>
        <v/>
      </c>
      <c r="U95" s="34"/>
      <c r="V95" s="94" t="str">
        <f t="shared" ca="1" si="35"/>
        <v/>
      </c>
      <c r="W95" s="34" t="str">
        <f t="shared" ca="1" si="36"/>
        <v/>
      </c>
      <c r="X95" s="34" t="str">
        <f t="shared" ca="1" si="37"/>
        <v/>
      </c>
      <c r="Y95" s="34" t="str">
        <f t="shared" ca="1" si="38"/>
        <v/>
      </c>
      <c r="Z95" s="34" t="str">
        <f t="shared" ca="1" si="39"/>
        <v/>
      </c>
      <c r="AA95" s="34"/>
      <c r="AB95" s="34" t="str">
        <f t="shared" ca="1" si="40"/>
        <v/>
      </c>
      <c r="AC95" s="34" t="str">
        <f ca="1">IF(ISNUMBER(D95), AB95*(Return), "")</f>
        <v/>
      </c>
      <c r="AD95" s="34" t="str">
        <f t="shared" ca="1" si="41"/>
        <v/>
      </c>
      <c r="AE95" s="34" t="str">
        <f t="shared" ca="1" si="42"/>
        <v/>
      </c>
    </row>
    <row r="96" spans="3:31" x14ac:dyDescent="0.25">
      <c r="C96" t="str">
        <f t="shared" ca="1" si="25"/>
        <v/>
      </c>
      <c r="D96" t="str">
        <f t="shared" ca="1" si="43"/>
        <v/>
      </c>
      <c r="E96" s="34" t="str">
        <f ca="1">IF(ISNUMBER(D96), E95*(1+Inflation+Productivity), "")</f>
        <v/>
      </c>
      <c r="F96" s="34" t="str">
        <f t="shared" ca="1" si="26"/>
        <v/>
      </c>
      <c r="G96" s="109" t="str">
        <f t="shared" ca="1" si="27"/>
        <v/>
      </c>
      <c r="H96" s="34"/>
      <c r="I96" s="34"/>
      <c r="J96" s="34"/>
      <c r="K96" s="34" t="str">
        <f ca="1">IF(ISNUMBER(D96), MIN(0.0188*E96, 0.0188*47400*(1+Inflation)^(D96-Current_Age)), "")</f>
        <v/>
      </c>
      <c r="L96" s="34" t="str">
        <f t="shared" ca="1" si="28"/>
        <v/>
      </c>
      <c r="M96" s="34"/>
      <c r="N96" s="34" t="str">
        <f t="shared" ca="1" si="29"/>
        <v/>
      </c>
      <c r="O96" s="34"/>
      <c r="P96" s="94" t="str">
        <f t="shared" ca="1" si="30"/>
        <v/>
      </c>
      <c r="Q96" s="94" t="str">
        <f t="shared" ca="1" si="31"/>
        <v/>
      </c>
      <c r="R96" s="94" t="str">
        <f t="shared" ca="1" si="32"/>
        <v/>
      </c>
      <c r="S96" s="94" t="str">
        <f t="shared" ca="1" si="33"/>
        <v/>
      </c>
      <c r="T96" s="94" t="str">
        <f t="shared" ca="1" si="34"/>
        <v/>
      </c>
      <c r="U96" s="34"/>
      <c r="V96" s="94" t="str">
        <f t="shared" ca="1" si="35"/>
        <v/>
      </c>
      <c r="W96" s="34" t="str">
        <f t="shared" ca="1" si="36"/>
        <v/>
      </c>
      <c r="X96" s="34" t="str">
        <f t="shared" ca="1" si="37"/>
        <v/>
      </c>
      <c r="Y96" s="34" t="str">
        <f t="shared" ca="1" si="38"/>
        <v/>
      </c>
      <c r="Z96" s="34" t="str">
        <f t="shared" ca="1" si="39"/>
        <v/>
      </c>
      <c r="AA96" s="34"/>
      <c r="AB96" s="34" t="str">
        <f t="shared" ca="1" si="40"/>
        <v/>
      </c>
      <c r="AC96" s="34" t="str">
        <f ca="1">IF(ISNUMBER(D96), AB96*(Return), "")</f>
        <v/>
      </c>
      <c r="AD96" s="34" t="str">
        <f t="shared" ca="1" si="41"/>
        <v/>
      </c>
      <c r="AE96" s="34" t="str">
        <f t="shared" ca="1" si="42"/>
        <v/>
      </c>
    </row>
    <row r="97" spans="3:31" x14ac:dyDescent="0.25">
      <c r="C97" t="str">
        <f t="shared" ca="1" si="25"/>
        <v/>
      </c>
      <c r="D97" t="str">
        <f t="shared" ca="1" si="43"/>
        <v/>
      </c>
      <c r="E97" s="34" t="str">
        <f ca="1">IF(ISNUMBER(D97), E96*(1+Inflation+Productivity), "")</f>
        <v/>
      </c>
      <c r="F97" s="34" t="str">
        <f t="shared" ca="1" si="26"/>
        <v/>
      </c>
      <c r="G97" s="109" t="str">
        <f t="shared" ca="1" si="27"/>
        <v/>
      </c>
      <c r="H97" s="34"/>
      <c r="I97" s="34"/>
      <c r="J97" s="34"/>
      <c r="K97" s="34" t="str">
        <f ca="1">IF(ISNUMBER(D97), MIN(0.0188*E97, 0.0188*47400*(1+Inflation)^(D97-Current_Age)), "")</f>
        <v/>
      </c>
      <c r="L97" s="34" t="str">
        <f t="shared" ca="1" si="28"/>
        <v/>
      </c>
      <c r="M97" s="34"/>
      <c r="N97" s="34" t="str">
        <f t="shared" ca="1" si="29"/>
        <v/>
      </c>
      <c r="O97" s="34"/>
      <c r="P97" s="94" t="str">
        <f t="shared" ca="1" si="30"/>
        <v/>
      </c>
      <c r="Q97" s="94" t="str">
        <f t="shared" ca="1" si="31"/>
        <v/>
      </c>
      <c r="R97" s="94" t="str">
        <f t="shared" ca="1" si="32"/>
        <v/>
      </c>
      <c r="S97" s="94" t="str">
        <f t="shared" ca="1" si="33"/>
        <v/>
      </c>
      <c r="T97" s="94" t="str">
        <f t="shared" ca="1" si="34"/>
        <v/>
      </c>
      <c r="U97" s="34"/>
      <c r="V97" s="94" t="str">
        <f t="shared" ca="1" si="35"/>
        <v/>
      </c>
      <c r="W97" s="34" t="str">
        <f t="shared" ca="1" si="36"/>
        <v/>
      </c>
      <c r="X97" s="34" t="str">
        <f t="shared" ca="1" si="37"/>
        <v/>
      </c>
      <c r="Y97" s="34" t="str">
        <f t="shared" ca="1" si="38"/>
        <v/>
      </c>
      <c r="Z97" s="34" t="str">
        <f t="shared" ca="1" si="39"/>
        <v/>
      </c>
      <c r="AA97" s="34"/>
      <c r="AB97" s="34" t="str">
        <f t="shared" ca="1" si="40"/>
        <v/>
      </c>
      <c r="AC97" s="34" t="str">
        <f ca="1">IF(ISNUMBER(D97), AB97*(Return), "")</f>
        <v/>
      </c>
      <c r="AD97" s="34" t="str">
        <f t="shared" ca="1" si="41"/>
        <v/>
      </c>
      <c r="AE97" s="34" t="str">
        <f t="shared" ca="1" si="42"/>
        <v/>
      </c>
    </row>
    <row r="98" spans="3:31" x14ac:dyDescent="0.25">
      <c r="C98" t="str">
        <f t="shared" ca="1" si="25"/>
        <v/>
      </c>
      <c r="D98" t="str">
        <f t="shared" ca="1" si="43"/>
        <v/>
      </c>
      <c r="E98" s="34" t="str">
        <f ca="1">IF(ISNUMBER(D98), E97*(1+Inflation+Productivity), "")</f>
        <v/>
      </c>
      <c r="F98" s="34" t="str">
        <f t="shared" ca="1" si="26"/>
        <v/>
      </c>
      <c r="G98" s="109" t="str">
        <f t="shared" ca="1" si="27"/>
        <v/>
      </c>
      <c r="H98" s="34"/>
      <c r="I98" s="34"/>
      <c r="J98" s="34"/>
      <c r="K98" s="34" t="str">
        <f ca="1">IF(ISNUMBER(D98), MIN(0.0188*E98, 0.0188*47400*(1+Inflation)^(D98-Current_Age)), "")</f>
        <v/>
      </c>
      <c r="L98" s="34" t="str">
        <f t="shared" ca="1" si="28"/>
        <v/>
      </c>
      <c r="M98" s="34"/>
      <c r="N98" s="34" t="str">
        <f t="shared" ca="1" si="29"/>
        <v/>
      </c>
      <c r="O98" s="34"/>
      <c r="P98" s="94" t="str">
        <f t="shared" ca="1" si="30"/>
        <v/>
      </c>
      <c r="Q98" s="94" t="str">
        <f t="shared" ca="1" si="31"/>
        <v/>
      </c>
      <c r="R98" s="94" t="str">
        <f t="shared" ca="1" si="32"/>
        <v/>
      </c>
      <c r="S98" s="94" t="str">
        <f t="shared" ca="1" si="33"/>
        <v/>
      </c>
      <c r="T98" s="94" t="str">
        <f t="shared" ca="1" si="34"/>
        <v/>
      </c>
      <c r="U98" s="34"/>
      <c r="V98" s="94" t="str">
        <f t="shared" ca="1" si="35"/>
        <v/>
      </c>
      <c r="W98" s="34" t="str">
        <f t="shared" ca="1" si="36"/>
        <v/>
      </c>
      <c r="X98" s="34" t="str">
        <f t="shared" ca="1" si="37"/>
        <v/>
      </c>
      <c r="Y98" s="34" t="str">
        <f t="shared" ca="1" si="38"/>
        <v/>
      </c>
      <c r="Z98" s="34" t="str">
        <f t="shared" ca="1" si="39"/>
        <v/>
      </c>
      <c r="AA98" s="34"/>
      <c r="AB98" s="34" t="str">
        <f t="shared" ca="1" si="40"/>
        <v/>
      </c>
      <c r="AC98" s="34" t="str">
        <f ca="1">IF(ISNUMBER(D98), AB98*(Return), "")</f>
        <v/>
      </c>
      <c r="AD98" s="34" t="str">
        <f t="shared" ca="1" si="41"/>
        <v/>
      </c>
      <c r="AE98" s="34" t="str">
        <f t="shared" ca="1" si="42"/>
        <v/>
      </c>
    </row>
    <row r="99" spans="3:31" x14ac:dyDescent="0.25">
      <c r="C99" t="str">
        <f t="shared" ca="1" si="25"/>
        <v/>
      </c>
      <c r="D99" t="str">
        <f t="shared" ca="1" si="43"/>
        <v/>
      </c>
      <c r="E99" s="34" t="str">
        <f ca="1">IF(ISNUMBER(D99), E98*(1+Inflation+Productivity), "")</f>
        <v/>
      </c>
      <c r="F99" s="34" t="str">
        <f t="shared" ca="1" si="26"/>
        <v/>
      </c>
      <c r="G99" s="109" t="str">
        <f t="shared" ca="1" si="27"/>
        <v/>
      </c>
      <c r="H99" s="34"/>
      <c r="I99" s="34"/>
      <c r="J99" s="34"/>
      <c r="K99" s="34" t="str">
        <f ca="1">IF(ISNUMBER(D99), MIN(0.0188*E99, 0.0188*47400*(1+Inflation)^(D99-Current_Age)), "")</f>
        <v/>
      </c>
      <c r="L99" s="34" t="str">
        <f t="shared" ca="1" si="28"/>
        <v/>
      </c>
      <c r="M99" s="34"/>
      <c r="N99" s="34" t="str">
        <f t="shared" ca="1" si="29"/>
        <v/>
      </c>
      <c r="O99" s="34"/>
      <c r="P99" s="94" t="str">
        <f t="shared" ca="1" si="30"/>
        <v/>
      </c>
      <c r="Q99" s="94" t="str">
        <f t="shared" ca="1" si="31"/>
        <v/>
      </c>
      <c r="R99" s="94" t="str">
        <f t="shared" ca="1" si="32"/>
        <v/>
      </c>
      <c r="S99" s="94" t="str">
        <f t="shared" ca="1" si="33"/>
        <v/>
      </c>
      <c r="T99" s="94" t="str">
        <f t="shared" ca="1" si="34"/>
        <v/>
      </c>
      <c r="U99" s="34"/>
      <c r="V99" s="94" t="str">
        <f t="shared" ca="1" si="35"/>
        <v/>
      </c>
      <c r="W99" s="34" t="str">
        <f t="shared" ca="1" si="36"/>
        <v/>
      </c>
      <c r="X99" s="34" t="str">
        <f t="shared" ca="1" si="37"/>
        <v/>
      </c>
      <c r="Y99" s="34" t="str">
        <f t="shared" ca="1" si="38"/>
        <v/>
      </c>
      <c r="Z99" s="34" t="str">
        <f t="shared" ca="1" si="39"/>
        <v/>
      </c>
      <c r="AA99" s="34"/>
      <c r="AB99" s="34" t="str">
        <f t="shared" ca="1" si="40"/>
        <v/>
      </c>
      <c r="AC99" s="34" t="str">
        <f ca="1">IF(ISNUMBER(D99), AB99*(Return), "")</f>
        <v/>
      </c>
      <c r="AD99" s="34" t="str">
        <f t="shared" ca="1" si="41"/>
        <v/>
      </c>
      <c r="AE99" s="34" t="str">
        <f t="shared" ca="1" si="42"/>
        <v/>
      </c>
    </row>
    <row r="100" spans="3:31" x14ac:dyDescent="0.25">
      <c r="C100" t="str">
        <f t="shared" ca="1" si="25"/>
        <v/>
      </c>
      <c r="D100" t="str">
        <f t="shared" ca="1" si="43"/>
        <v/>
      </c>
      <c r="E100" s="34" t="str">
        <f ca="1">IF(ISNUMBER(D100), E99*(1+Inflation+Productivity), "")</f>
        <v/>
      </c>
      <c r="F100" s="34" t="str">
        <f t="shared" ca="1" si="26"/>
        <v/>
      </c>
      <c r="G100" s="109" t="str">
        <f t="shared" ca="1" si="27"/>
        <v/>
      </c>
      <c r="H100" s="34"/>
      <c r="I100" s="34"/>
      <c r="J100" s="34"/>
      <c r="K100" s="34" t="str">
        <f ca="1">IF(ISNUMBER(D100), MIN(0.0188*E100, 0.0188*47400*(1+Inflation)^(D100-Current_Age)), "")</f>
        <v/>
      </c>
      <c r="L100" s="34" t="str">
        <f t="shared" ca="1" si="28"/>
        <v/>
      </c>
      <c r="M100" s="34"/>
      <c r="N100" s="34" t="str">
        <f t="shared" ca="1" si="29"/>
        <v/>
      </c>
      <c r="O100" s="34"/>
      <c r="P100" s="94" t="str">
        <f t="shared" ca="1" si="30"/>
        <v/>
      </c>
      <c r="Q100" s="94" t="str">
        <f t="shared" ca="1" si="31"/>
        <v/>
      </c>
      <c r="R100" s="94" t="str">
        <f t="shared" ca="1" si="32"/>
        <v/>
      </c>
      <c r="S100" s="94" t="str">
        <f t="shared" ca="1" si="33"/>
        <v/>
      </c>
      <c r="T100" s="94" t="str">
        <f t="shared" ca="1" si="34"/>
        <v/>
      </c>
      <c r="U100" s="34"/>
      <c r="V100" s="94" t="str">
        <f t="shared" ca="1" si="35"/>
        <v/>
      </c>
      <c r="W100" s="34" t="str">
        <f t="shared" ca="1" si="36"/>
        <v/>
      </c>
      <c r="X100" s="34" t="str">
        <f t="shared" ca="1" si="37"/>
        <v/>
      </c>
      <c r="Y100" s="34" t="str">
        <f t="shared" ca="1" si="38"/>
        <v/>
      </c>
      <c r="Z100" s="34" t="str">
        <f t="shared" ca="1" si="39"/>
        <v/>
      </c>
      <c r="AA100" s="34"/>
      <c r="AB100" s="34" t="str">
        <f t="shared" ca="1" si="40"/>
        <v/>
      </c>
      <c r="AC100" s="34" t="str">
        <f ca="1">IF(ISNUMBER(D100), AB100*(Return), "")</f>
        <v/>
      </c>
      <c r="AD100" s="34" t="str">
        <f t="shared" ca="1" si="41"/>
        <v/>
      </c>
      <c r="AE100" s="34" t="str">
        <f t="shared" ca="1" si="42"/>
        <v/>
      </c>
    </row>
    <row r="101" spans="3:31" x14ac:dyDescent="0.25">
      <c r="P101" s="74"/>
      <c r="Q101" s="74"/>
      <c r="R101" s="74"/>
      <c r="S101" s="74"/>
      <c r="T101" s="74"/>
    </row>
    <row r="102" spans="3:31" x14ac:dyDescent="0.25">
      <c r="P102" s="74"/>
      <c r="Q102" s="74"/>
      <c r="R102" s="74"/>
      <c r="S102" s="74"/>
      <c r="T102" s="74"/>
    </row>
    <row r="103" spans="3:31" x14ac:dyDescent="0.25">
      <c r="P103" s="74"/>
      <c r="Q103" s="74"/>
      <c r="R103" s="74"/>
      <c r="S103" s="74"/>
      <c r="T103" s="74"/>
    </row>
    <row r="104" spans="3:31" x14ac:dyDescent="0.25">
      <c r="P104" s="74"/>
      <c r="Q104" s="74"/>
      <c r="R104" s="74"/>
      <c r="S104" s="74"/>
      <c r="T104" s="74"/>
    </row>
    <row r="105" spans="3:31" x14ac:dyDescent="0.25">
      <c r="P105" s="74"/>
      <c r="Q105" s="74"/>
      <c r="R105" s="74"/>
      <c r="S105" s="74"/>
      <c r="T105" s="74"/>
    </row>
    <row r="106" spans="3:31" x14ac:dyDescent="0.25">
      <c r="P106" s="74"/>
      <c r="Q106" s="74"/>
      <c r="R106" s="74"/>
      <c r="S106" s="74"/>
      <c r="T106" s="74"/>
    </row>
    <row r="107" spans="3:31" x14ac:dyDescent="0.25">
      <c r="P107" s="74"/>
      <c r="Q107" s="74"/>
      <c r="R107" s="74"/>
      <c r="S107" s="74"/>
      <c r="T107" s="74"/>
    </row>
    <row r="108" spans="3:31" x14ac:dyDescent="0.25">
      <c r="P108" s="74"/>
      <c r="Q108" s="74"/>
      <c r="R108" s="74"/>
      <c r="S108" s="74"/>
      <c r="T108" s="74"/>
    </row>
    <row r="109" spans="3:31" x14ac:dyDescent="0.25">
      <c r="P109" s="74"/>
      <c r="Q109" s="74"/>
      <c r="R109" s="74"/>
      <c r="S109" s="74"/>
      <c r="T109" s="74"/>
    </row>
    <row r="110" spans="3:31" x14ac:dyDescent="0.25">
      <c r="P110" s="74"/>
      <c r="Q110" s="74"/>
      <c r="R110" s="74"/>
      <c r="S110" s="74"/>
      <c r="T110" s="74"/>
    </row>
    <row r="111" spans="3:31" x14ac:dyDescent="0.25">
      <c r="P111" s="74"/>
      <c r="Q111" s="74"/>
      <c r="R111" s="74"/>
      <c r="S111" s="74"/>
      <c r="T111" s="74"/>
    </row>
    <row r="112" spans="3:31" x14ac:dyDescent="0.25">
      <c r="P112" s="74"/>
      <c r="Q112" s="74"/>
      <c r="R112" s="74"/>
      <c r="S112" s="74"/>
      <c r="T112" s="74"/>
    </row>
  </sheetData>
  <mergeCells count="9">
    <mergeCell ref="AB7:AE7"/>
    <mergeCell ref="V7:Z7"/>
    <mergeCell ref="C7:F7"/>
    <mergeCell ref="AB3:AE3"/>
    <mergeCell ref="I3:N3"/>
    <mergeCell ref="P3:T3"/>
    <mergeCell ref="V3:Z3"/>
    <mergeCell ref="I7:N7"/>
    <mergeCell ref="P7:T7"/>
  </mergeCell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theme="8" tint="0.39997558519241921"/>
  </sheetPr>
  <dimension ref="A1:N39"/>
  <sheetViews>
    <sheetView zoomScale="85" zoomScaleNormal="85" workbookViewId="0">
      <pane ySplit="2" topLeftCell="A3" activePane="bottomLeft" state="frozen"/>
      <selection pane="bottomLeft" activeCell="C6" sqref="C6"/>
    </sheetView>
  </sheetViews>
  <sheetFormatPr defaultRowHeight="15" x14ac:dyDescent="0.25"/>
  <cols>
    <col min="2" max="2" width="26.7109375" bestFit="1" customWidth="1"/>
    <col min="3" max="3" width="46.5703125" bestFit="1" customWidth="1"/>
    <col min="4" max="4" width="13.7109375" bestFit="1" customWidth="1"/>
    <col min="5" max="5" width="17.5703125" customWidth="1"/>
    <col min="6" max="6" width="18.5703125" customWidth="1"/>
    <col min="7" max="7" width="12.7109375" bestFit="1" customWidth="1"/>
    <col min="8" max="9" width="11.85546875" customWidth="1"/>
    <col min="10" max="10" width="11.28515625" customWidth="1"/>
    <col min="11" max="11" width="31.42578125" bestFit="1" customWidth="1"/>
    <col min="12" max="13" width="7.7109375" bestFit="1" customWidth="1"/>
    <col min="14" max="14" width="12.42578125" bestFit="1" customWidth="1"/>
  </cols>
  <sheetData>
    <row r="1" spans="1:10" ht="18.75" x14ac:dyDescent="0.3">
      <c r="A1" s="4" t="s">
        <v>65</v>
      </c>
    </row>
    <row r="2" spans="1:10" ht="15" customHeight="1" x14ac:dyDescent="0.25">
      <c r="A2" s="55" t="s">
        <v>101</v>
      </c>
      <c r="B2" s="56" t="str">
        <f>"http://www.cra-arc.gc.ca/E/pbg/tf/td1"&amp;VLOOKUP(C5, $B$23:$C$35, 2, FALSE)&amp;"/td1"&amp;VLOOKUP(C5, $B$23:$C$35, 2, FALSE)&amp;"-13e.pdf"</f>
        <v>http://www.cra-arc.gc.ca/E/pbg/tf/td1on/td1on-13e.pdf</v>
      </c>
    </row>
    <row r="3" spans="1:10" ht="15" customHeight="1" x14ac:dyDescent="0.25">
      <c r="A3" s="28"/>
      <c r="B3" s="54"/>
    </row>
    <row r="4" spans="1:10" ht="15" customHeight="1" x14ac:dyDescent="0.3">
      <c r="A4" s="4"/>
      <c r="B4" s="36" t="s">
        <v>105</v>
      </c>
      <c r="C4" s="36"/>
      <c r="D4" s="36"/>
    </row>
    <row r="5" spans="1:10" x14ac:dyDescent="0.25">
      <c r="B5" s="28" t="s">
        <v>76</v>
      </c>
      <c r="C5" s="42" t="str">
        <f>UserForm!D9</f>
        <v>Ontario</v>
      </c>
      <c r="E5" s="28"/>
      <c r="F5" s="81"/>
    </row>
    <row r="6" spans="1:10" x14ac:dyDescent="0.25">
      <c r="B6" s="28" t="s">
        <v>152</v>
      </c>
      <c r="C6" s="27">
        <v>85000</v>
      </c>
      <c r="E6" s="28"/>
      <c r="F6" s="27"/>
    </row>
    <row r="7" spans="1:10" x14ac:dyDescent="0.25">
      <c r="B7" s="28" t="s">
        <v>184</v>
      </c>
      <c r="C7" s="27">
        <v>15300</v>
      </c>
      <c r="E7" s="28"/>
      <c r="F7" s="27"/>
    </row>
    <row r="8" spans="1:10" x14ac:dyDescent="0.25">
      <c r="B8" s="28" t="s">
        <v>115</v>
      </c>
      <c r="C8" s="41">
        <f>Salary-C7</f>
        <v>69700</v>
      </c>
    </row>
    <row r="9" spans="1:10" ht="17.25" x14ac:dyDescent="0.4">
      <c r="B9" s="28" t="s">
        <v>185</v>
      </c>
      <c r="C9" s="114">
        <f ca="1">VLOOKUP(C5, $B$23:$J$35, 6, FALSE)</f>
        <v>4877.5451999999996</v>
      </c>
      <c r="E9" s="28"/>
      <c r="F9" s="28"/>
      <c r="G9" s="46"/>
      <c r="H9" s="57"/>
      <c r="I9" s="57"/>
    </row>
    <row r="10" spans="1:10" x14ac:dyDescent="0.25">
      <c r="B10" s="28"/>
      <c r="C10" s="27"/>
      <c r="E10" s="28"/>
      <c r="F10" s="28"/>
      <c r="G10" s="46"/>
      <c r="H10" s="57"/>
      <c r="I10" s="57"/>
    </row>
    <row r="11" spans="1:10" x14ac:dyDescent="0.25">
      <c r="B11" s="36" t="s">
        <v>81</v>
      </c>
      <c r="E11" s="35"/>
      <c r="F11" s="35"/>
      <c r="G11" s="46"/>
      <c r="H11" s="73"/>
      <c r="I11" s="73"/>
      <c r="J11" s="74"/>
    </row>
    <row r="12" spans="1:10" x14ac:dyDescent="0.25">
      <c r="B12" s="28" t="str">
        <f>C5&amp;":"</f>
        <v>Ontario:</v>
      </c>
      <c r="C12" s="38" t="str">
        <f ca="1">TEXT(VLOOKUP(C5, $B$23:$J$35, 4, FALSE), "$###,###")&amp;" ("&amp;TEXT(VLOOKUP(C5, $B$23:$J$35, 4, FALSE)/Salary,"##%")&amp;", "&amp;TEXT(VLOOKUP(C5, $B$23:$J$35, 8, FALSE)-H39,"##%")&amp;")"</f>
        <v>$5,777 (7%, 11%)</v>
      </c>
      <c r="D12" s="27">
        <f ca="1">VLOOKUP(C5, $B$23:$J$35, 4, FALSE)</f>
        <v>5776.9651999999996</v>
      </c>
      <c r="E12" s="75"/>
      <c r="F12" s="75"/>
      <c r="G12" s="76"/>
      <c r="H12" s="76"/>
      <c r="I12" s="76"/>
      <c r="J12" s="74"/>
    </row>
    <row r="13" spans="1:10" x14ac:dyDescent="0.25">
      <c r="B13" s="28" t="s">
        <v>67</v>
      </c>
      <c r="C13" s="38" t="str">
        <f ca="1">TEXT(E39, "$###,###")&amp;" ("&amp;TEXT(E39/Salary,"##%")&amp;", "&amp;TEXT(H39,"##%")&amp;")"</f>
        <v>$13,995 (16%, 22%)</v>
      </c>
      <c r="D13" s="27">
        <f ca="1">E39</f>
        <v>13995.029999999999</v>
      </c>
      <c r="E13" s="77"/>
      <c r="F13" s="77"/>
      <c r="G13" s="78"/>
      <c r="H13" s="72"/>
      <c r="I13" s="63"/>
      <c r="J13" s="74"/>
    </row>
    <row r="14" spans="1:10" x14ac:dyDescent="0.25">
      <c r="B14" s="28" t="s">
        <v>68</v>
      </c>
      <c r="C14" s="38" t="str">
        <f ca="1">TEXT(VLOOKUP(C5, $B$23:$J$35, 5, FALSE), "$###,###")&amp;" ("&amp;TEXT(VLOOKUP(C5, $B$23:$J$35, 7, FALSE),"##%")&amp;", "&amp;TEXT(VLOOKUP(C5, $B$23:$J$35, 8, FALSE),"##%")&amp;")"</f>
        <v>$19,772 (23%, 33%)</v>
      </c>
      <c r="D14" s="27">
        <f ca="1">VLOOKUP(C5, $B$23:$J$35, 5, FALSE)</f>
        <v>19771.995199999998</v>
      </c>
      <c r="E14" s="77"/>
      <c r="F14" s="77"/>
      <c r="G14" s="61"/>
      <c r="H14" s="72"/>
      <c r="I14" s="63"/>
      <c r="J14" s="74"/>
    </row>
    <row r="15" spans="1:10" x14ac:dyDescent="0.25">
      <c r="B15" s="28" t="s">
        <v>77</v>
      </c>
      <c r="C15" s="38" t="str">
        <f ca="1">VLOOKUP(C5, $B$23:$J$35, 9, FALSE)&amp;" of 13"</f>
        <v>4 of 13</v>
      </c>
      <c r="E15" s="77"/>
      <c r="F15" s="77"/>
      <c r="G15" s="62"/>
      <c r="H15" s="79"/>
      <c r="I15" s="80"/>
      <c r="J15" s="74"/>
    </row>
    <row r="16" spans="1:10" x14ac:dyDescent="0.25">
      <c r="B16" s="28"/>
      <c r="C16" s="38"/>
      <c r="E16" s="74"/>
      <c r="F16" s="74"/>
      <c r="G16" s="74"/>
      <c r="H16" s="74"/>
      <c r="I16" s="74"/>
      <c r="J16" s="74"/>
    </row>
    <row r="17" spans="2:14" x14ac:dyDescent="0.25">
      <c r="B17" s="36" t="s">
        <v>82</v>
      </c>
      <c r="I17" s="28"/>
      <c r="M17" s="28"/>
      <c r="N17" s="40"/>
    </row>
    <row r="18" spans="2:14" x14ac:dyDescent="0.25">
      <c r="B18" s="28" t="s">
        <v>79</v>
      </c>
      <c r="C18" s="38" t="str">
        <f ca="1">VLOOKUP(MAX($J$23:$J$35),$J$23:$K$35,2,FALSE)&amp;", "&amp;TEXT(MAX($E$23:$E$35),"$###,###")&amp;" ("&amp;TEXT(MAX($H$23:$H$35),"##%")&amp;", "&amp;TEXT(MAX($I$23:$I$35),"##%")&amp;")"</f>
        <v>Quebec, $13,717 (33%, 46%)</v>
      </c>
      <c r="J18" s="52"/>
      <c r="K18" s="34"/>
      <c r="N18" s="40"/>
    </row>
    <row r="19" spans="2:14" x14ac:dyDescent="0.25">
      <c r="B19" s="28" t="s">
        <v>78</v>
      </c>
      <c r="C19" s="38" t="str">
        <f ca="1">VLOOKUP(MEDIAN($J$23:$J$35),$J$23:$K$35,2,FALSE)&amp;", "&amp;TEXT(MEDIAN($E$23:$E$35),"$###,###")&amp;" ("&amp;TEXT(MEDIAN($H$23:$H$35),"##%")&amp;", "&amp;TEXT(MEDIAN($I$23:$I$35),"##%")&amp;")"</f>
        <v>Newfoundland and Labrador, $8,494 (26%, 35%)</v>
      </c>
      <c r="J19" s="52"/>
      <c r="N19" s="40"/>
    </row>
    <row r="20" spans="2:14" x14ac:dyDescent="0.25">
      <c r="B20" s="28" t="s">
        <v>80</v>
      </c>
      <c r="C20" s="38" t="str">
        <f ca="1">VLOOKUP(MIN($J$23:$J$35),$J$23:$K$35,2,FALSE)&amp;", "&amp;TEXT(MIN($E$23:$E$35),"$###,###")&amp;" ("&amp;TEXT(MIN($H$23:$H$35),"##%")&amp;", "&amp;TEXT(MIN($I$23:$I$35),"##%")&amp;")"</f>
        <v>Nunavut, $4,244 (21%, 31%)</v>
      </c>
      <c r="I20" s="28"/>
      <c r="J20" s="52"/>
      <c r="K20" s="15"/>
      <c r="M20" s="28"/>
      <c r="N20" s="40"/>
    </row>
    <row r="21" spans="2:14" ht="15.75" thickBot="1" x14ac:dyDescent="0.3">
      <c r="E21" s="27"/>
      <c r="F21" s="27"/>
    </row>
    <row r="22" spans="2:14" ht="15.75" thickBot="1" x14ac:dyDescent="0.3">
      <c r="B22" s="59" t="s">
        <v>11</v>
      </c>
      <c r="C22" s="59" t="s">
        <v>98</v>
      </c>
      <c r="D22" s="69" t="s">
        <v>104</v>
      </c>
      <c r="E22" s="82" t="s">
        <v>117</v>
      </c>
      <c r="F22" s="70" t="s">
        <v>118</v>
      </c>
      <c r="G22" s="70" t="s">
        <v>116</v>
      </c>
      <c r="H22" s="69" t="s">
        <v>102</v>
      </c>
      <c r="I22" s="69" t="s">
        <v>103</v>
      </c>
      <c r="J22" s="70" t="s">
        <v>75</v>
      </c>
    </row>
    <row r="23" spans="2:14" x14ac:dyDescent="0.25">
      <c r="B23" s="37" t="s">
        <v>0</v>
      </c>
      <c r="C23" s="37" t="str">
        <f>VLOOKUP(B23, Credits!$B$9:$C$22, 2, FALSE)</f>
        <v>bc</v>
      </c>
      <c r="D23" s="53">
        <f ca="1">VLOOKUP(B23, Credits!$B$9:$D$22, 3, FALSE)</f>
        <v>10276</v>
      </c>
      <c r="E23" s="71">
        <f ca="1">IF(Salary-Rates!F41&lt;0,Salary*Rates!D41,IF(Salary-Rates!F42&lt;0,Rates!E41*Rates!D41+(Salary-Rates!F41)*Rates!D42,IF(Salary-Rates!F43&lt;0, SUMPRODUCT(Rates!D41:D42, Rates!E41:E42)+(Salary-Rates!F42)*Rates!D43,IF(Salary-Rates!F44&lt;0,  SUMPRODUCT(Rates!D41:D43, Rates!E41:E43)+(Salary-Rates!F43)*Rates!D44, SUMPRODUCT(Rates!D41:D44, Rates!E41:E44)+(Salary-Rates!F44)*Rates!D45))))-IF(Salary&lt;D23, Salary*VLOOKUP(B23, Credits!$B$9:$E$22, 4, FALSE), D23*VLOOKUP(B23, Credits!$B$9:$E$22, 4, FALSE))</f>
        <v>5309.3752000000004</v>
      </c>
      <c r="F23" s="27">
        <f t="shared" ref="F23:F35" ca="1" si="0">E23+$E$39</f>
        <v>19304.405200000001</v>
      </c>
      <c r="G23" s="27">
        <f ca="1">E23-(IF(Taxable_Income-Rates!F41&lt;0,Taxable_Income*Rates!D41,IF(Taxable_Income-Rates!F42&lt;0,Rates!E41*Rates!D41+(Taxable_Income-Rates!F41)*Rates!D42,IF(Taxable_Income-Rates!F43&lt;0, SUMPRODUCT(Rates!D41:D42, Rates!E41:E42)+(Taxable_Income-Rates!F42)*Rates!D43,IF(Taxable_Income-Rates!F44&lt;0,  SUMPRODUCT(Rates!D41:D43, Rates!E41:E43)+(Taxable_Income-Rates!F43)*Rates!D44, SUMPRODUCT(Rates!D41:D44, Rates!E41:E44)+(Taxable_Income-Rates!F44)*Rates!D45))))-IF(Taxable_Income&lt;D23, Taxable_Income*VLOOKUP(B23, Credits!$B$9:$E$22, 4, FALSE), D23*VLOOKUP(B23, Credits!$B$9:$E$22, 4, FALSE)))+$F$39</f>
        <v>4820.2360000000008</v>
      </c>
      <c r="H23" s="16">
        <f t="shared" ref="H23:H35" ca="1" si="1">IF(ISERROR(F23/Salary), 0, F23/Salary)</f>
        <v>0.22711064941176473</v>
      </c>
      <c r="I23" s="15">
        <f ca="1">IF(Salary-Rates!F41&lt;0,Rates!D41,IF(Salary-Rates!F42&lt;0,Rates!D42,IF(Salary-Rates!F43&lt;0, Rates!D43,IF(Salary-Rates!F44&lt;0,  Rates!D44, Rates!D45))))+H39</f>
        <v>0.32500000000000001</v>
      </c>
      <c r="J23" s="27">
        <f t="shared" ref="J23:J35" ca="1" si="2">RANK(H23,$H$23:$H$35,1)</f>
        <v>2</v>
      </c>
      <c r="K23" s="39" t="str">
        <f>B23</f>
        <v>British Columbia</v>
      </c>
    </row>
    <row r="24" spans="2:14" x14ac:dyDescent="0.25">
      <c r="B24" s="37" t="s">
        <v>1</v>
      </c>
      <c r="C24" s="37" t="str">
        <f>VLOOKUP(B24, Credits!$B$9:$C$22, 2, FALSE)</f>
        <v>ab</v>
      </c>
      <c r="D24" s="53">
        <f ca="1">VLOOKUP(B24, Credits!$B$9:$D$22, 3, FALSE)</f>
        <v>17593</v>
      </c>
      <c r="E24" s="71">
        <f ca="1">Salary*Rates!D40-IF(Salary&lt;D24, Salary*VLOOKUP(B24, Credits!$B$9:$E$22, 4, FALSE), D24*VLOOKUP(B24, Credits!$B$9:$E$22, 4, FALSE))</f>
        <v>6740.7</v>
      </c>
      <c r="F24" s="27">
        <f t="shared" ca="1" si="0"/>
        <v>20735.73</v>
      </c>
      <c r="G24" s="27">
        <f ca="1">E24-(Taxable_Income*Rates!D40-IF(Taxable_Income&lt;D24, Taxable_Income*VLOOKUP(B24, Credits!$B$9:$E$22, 4, FALSE), D24*VLOOKUP(B24, Credits!$B$9:$E$22, 4, FALSE)))+$F$39</f>
        <v>4896</v>
      </c>
      <c r="H24" s="16">
        <f t="shared" ca="1" si="1"/>
        <v>0.24394976470588234</v>
      </c>
      <c r="I24" s="15">
        <f ca="1">Rates!D40+H39</f>
        <v>0.32</v>
      </c>
      <c r="J24" s="27">
        <f t="shared" ca="1" si="2"/>
        <v>6</v>
      </c>
      <c r="K24" s="39" t="str">
        <f t="shared" ref="K24:K35" si="3">B24</f>
        <v>Alberta</v>
      </c>
    </row>
    <row r="25" spans="2:14" x14ac:dyDescent="0.25">
      <c r="B25" s="37" t="s">
        <v>19</v>
      </c>
      <c r="C25" s="37" t="str">
        <f>VLOOKUP(B25, Credits!$B$9:$C$22, 2, FALSE)</f>
        <v>sk</v>
      </c>
      <c r="D25" s="53">
        <f ca="1">VLOOKUP(B25, Credits!$B$9:$D$22, 3, FALSE)</f>
        <v>15241</v>
      </c>
      <c r="E25" s="71">
        <f ca="1">IF(Salary-Rates!F37&lt;0,Salary*Rates!D37,IF(Salary-Rates!F38&lt;0,Rates!E37*Rates!D37+(Salary-Rates!F37)*Rates!D38,Rates!E37*Rates!D37+Rates!E38*Rates!D38+(Salary-Rates!F38)*Rates!D39))-IF(Salary&lt;D25, Salary*VLOOKUP(B25, Credits!$B$9:$E$22, 4, FALSE), D25*VLOOKUP(B25, Credits!$B$9:$E$22, 4, FALSE))</f>
        <v>8515.3700000000008</v>
      </c>
      <c r="F25" s="27">
        <f t="shared" ca="1" si="0"/>
        <v>22510.400000000001</v>
      </c>
      <c r="G25" s="27">
        <f ca="1">E25-(IF(Taxable_Income-Rates!F37&lt;0,Taxable_Income*Rates!D37,IF(Taxable_Income-Rates!F38&lt;0,Rates!E37*Rates!D37+(Taxable_Income-Rates!F37)*Rates!D38,Rates!E37*Rates!D37+Rates!E38*Rates!D38+(Taxable_Income-Rates!F38)*Rates!D39))-IF(Taxable_Income&lt;D25, Taxable_Income*VLOOKUP(B25, Credits!$B$9:$E$22, 4, FALSE), D25*VLOOKUP(B25, Credits!$B$9:$E$22, 4, FALSE)))+$F$39</f>
        <v>5355</v>
      </c>
      <c r="H25" s="16">
        <f t="shared" ca="1" si="1"/>
        <v>0.26482823529411764</v>
      </c>
      <c r="I25" s="15">
        <f ca="1">IF(Salary-Rates!F37&lt;0,Rates!D37,IF(Salary-Rates!F38&lt;0,Rates!D38,Rates!D39))+H39</f>
        <v>0.35</v>
      </c>
      <c r="J25" s="27">
        <f t="shared" ca="1" si="2"/>
        <v>8</v>
      </c>
      <c r="K25" s="39" t="str">
        <f t="shared" si="3"/>
        <v>Saskatchewan</v>
      </c>
    </row>
    <row r="26" spans="2:14" x14ac:dyDescent="0.25">
      <c r="B26" s="37" t="s">
        <v>2</v>
      </c>
      <c r="C26" s="37" t="str">
        <f>VLOOKUP(B26, Credits!$B$9:$C$22, 2, FALSE)</f>
        <v>mb</v>
      </c>
      <c r="D26" s="53">
        <f ca="1">VLOOKUP(B26, Credits!$B$9:$D$22, 3, FALSE)</f>
        <v>8884</v>
      </c>
      <c r="E26" s="71">
        <f ca="1">IF(Salary-Rates!F34&lt;0,Salary*Rates!D34,IF(Salary-Rates!F35&lt;0,Rates!E34*Rates!D34+(Salary-Rates!F34)*Rates!D35,Rates!E34*Rates!D34+Rates!E35*Rates!D35+(Salary-Rates!F35)*Rates!D36))-IF(Salary&lt;D26, Salary*VLOOKUP(B26, Credits!$B$9:$E$22, 4, FALSE), D26*VLOOKUP(B26, Credits!$B$9:$E$22, 4, FALSE))</f>
        <v>10110.528</v>
      </c>
      <c r="F26" s="27">
        <f t="shared" ca="1" si="0"/>
        <v>24105.557999999997</v>
      </c>
      <c r="G26" s="27">
        <f ca="1">E26-(IF(Taxable_Income-Rates!F34&lt;0,Taxable_Income*Rates!D34,IF(Taxable_Income-Rates!F35&lt;0,Rates!E34*Rates!D34+(Taxable_Income-Rates!F34)*Rates!D35,Rates!E34*Rates!D34+Rates!E35*Rates!D35+(Taxable_Income-Rates!F35)*Rates!D36))-IF(Taxable_Income&lt;D26, Taxable_Income*VLOOKUP(B26, Credits!$B$9:$E$22, 4, FALSE), D26*VLOOKUP(B26, Credits!$B$9:$E$22, 4, FALSE)))+$F$39</f>
        <v>6028.2000000000007</v>
      </c>
      <c r="H26" s="16">
        <f t="shared" ca="1" si="1"/>
        <v>0.28359479999999998</v>
      </c>
      <c r="I26" s="15">
        <f ca="1">IF(Salary-Rates!F34&lt;0,Rates!D34,IF(Salary-Rates!F35&lt;0,Rates!D35,Rates!D36))+H39</f>
        <v>0.39400000000000002</v>
      </c>
      <c r="J26" s="27">
        <f t="shared" ca="1" si="2"/>
        <v>10</v>
      </c>
      <c r="K26" s="39" t="str">
        <f t="shared" si="3"/>
        <v>Manitoba</v>
      </c>
    </row>
    <row r="27" spans="2:14" x14ac:dyDescent="0.25">
      <c r="B27" s="37" t="s">
        <v>3</v>
      </c>
      <c r="C27" s="37" t="str">
        <f>VLOOKUP(B27, Credits!$B$9:$C$22, 2, FALSE)</f>
        <v>on</v>
      </c>
      <c r="D27" s="53">
        <f ca="1">VLOOKUP(B27, Credits!$B$9:$D$22, 3, FALSE)</f>
        <v>9574</v>
      </c>
      <c r="E27" s="71">
        <f ca="1">IF(Salary-Rates!F30&lt;0,Salary*Rates!D30,IF(Salary-Rates!F31&lt;0,Rates!E30*Rates!D30+(Salary-Rates!F30)*Rates!D31,IF(Salary-Rates!F32&lt;0,Rates!E30*Rates!D30+Rates!E31*Rates!D31+(Salary-Rates!F31)*Rates!D32,Rates!E30*Rates!D30+Rates!E31*Rates!D31+Rates!E32*Rates!D32+(Salary-Rates!F32)*Rates!D33)))-IF(Salary&lt;D27, Salary*VLOOKUP(B27, Credits!$B$9:$E$22, 4, FALSE), D27*VLOOKUP(B27, Credits!$B$9:$E$22, 4, FALSE))</f>
        <v>5776.9651999999996</v>
      </c>
      <c r="F27" s="27">
        <f t="shared" ca="1" si="0"/>
        <v>19771.995199999998</v>
      </c>
      <c r="G27" s="27">
        <f ca="1">E27-(IF(Taxable_Income-Rates!F30&lt;0,Taxable_Income*Rates!D30,IF(Taxable_Income-Rates!F31&lt;0,Rates!E30*Rates!D30+(Taxable_Income-Rates!F30)*Rates!D31,IF(Taxable_Income-Rates!F32&lt;0,Rates!E30*Rates!D30+Rates!E31*Rates!D31+(Taxable_Income-Rates!F31)*Rates!D32,Rates!E30*Rates!D30+Rates!E31*Rates!D31+Rates!E32*Rates!D32+(Taxable_Income-Rates!F32)*Rates!D33)))-IF(Taxable_Income&lt;D27, Taxable_Income*VLOOKUP(B27, Credits!$B$9:$E$22, 4, FALSE), D27*VLOOKUP(B27, Credits!$B$9:$E$22, 4, FALSE)))+$F$39</f>
        <v>4877.5451999999996</v>
      </c>
      <c r="H27" s="16">
        <f t="shared" ca="1" si="1"/>
        <v>0.23261170823529409</v>
      </c>
      <c r="I27" s="15">
        <f ca="1">IF(Salary-Rates!F30&lt;0,Rates!D30,IF(Salary-Rates!F31&lt;0,Rates!D31,IF(Salary-Rates!F32&lt;0,Rates!D32,Rates!D33)))+H39</f>
        <v>0.33160000000000001</v>
      </c>
      <c r="J27" s="27">
        <f t="shared" ca="1" si="2"/>
        <v>4</v>
      </c>
      <c r="K27" s="39" t="str">
        <f t="shared" si="3"/>
        <v>Ontario</v>
      </c>
    </row>
    <row r="28" spans="2:14" x14ac:dyDescent="0.25">
      <c r="B28" s="37" t="s">
        <v>4</v>
      </c>
      <c r="C28" s="37" t="str">
        <f>VLOOKUP(B28, Credits!$B$9:$C$22, 2, FALSE)</f>
        <v>qb</v>
      </c>
      <c r="D28" s="53">
        <f ca="1">VLOOKUP(B28, Credits!$B$9:$D$22, 3, FALSE)</f>
        <v>11195</v>
      </c>
      <c r="E28" s="71">
        <f ca="1">IF(Salary-Rates!F26&lt;0,Salary*Rates!D26,IF(Salary-Rates!F27&lt;0,Rates!E26*Rates!D26+(Salary-Rates!F26)*Rates!D27,IF(Salary-Rates!F28&lt;0,Rates!E26*Rates!D26+Rates!E27*Rates!D27+(Salary-Rates!F27)*Rates!D28,Rates!E26*Rates!D26+Rates!E27*Rates!D27+Rates!E28*Rates!D28+(Salary-Rates!F28)*Rates!D29)))-IF(Salary&lt;D28, Salary*VLOOKUP(B28, Credits!$B$9:$E$22, 4, FALSE), D28*VLOOKUP(B28, Credits!$B$9:$E$22, 4, FALSE))</f>
        <v>13717.199999999999</v>
      </c>
      <c r="F28" s="27">
        <f t="shared" ca="1" si="0"/>
        <v>27712.229999999996</v>
      </c>
      <c r="G28" s="27">
        <f ca="1">E28-(IF(Taxable_Income-Rates!F26&lt;0,Taxable_Income*Rates!D26,IF(Taxable_Income-Rates!F27&lt;0,Rates!E26*Rates!D26+(Taxable_Income-Rates!F26)*Rates!D27,IF(Taxable_Income-Rates!F28&lt;0,Rates!E26*Rates!D26+Rates!E27*Rates!D27+(Taxable_Income-Rates!F27)*Rates!D28,Rates!E26*Rates!D26+Rates!E27*Rates!D27+Rates!E28*Rates!D28+(Taxable_Income-Rates!F28)*Rates!D29)))-IF(Taxable_Income&lt;D28, Taxable_Income*VLOOKUP(B28, Credits!$B$9:$E$22, 4, FALSE), D28*VLOOKUP(B28, Credits!$B$9:$E$22, 4, FALSE)))+$F$39</f>
        <v>6538.4</v>
      </c>
      <c r="H28" s="16">
        <f t="shared" ca="1" si="1"/>
        <v>0.32602623529411762</v>
      </c>
      <c r="I28" s="15">
        <f ca="1">IF(Salary-Rates!F26&lt;0,Rates!D26,IF(Salary-Rates!F27&lt;0,Rates!D27,IF(Salary-Rates!F28&lt;0,Rates!D28,Rates!D29)))+H39</f>
        <v>0.45999999999999996</v>
      </c>
      <c r="J28" s="27">
        <f t="shared" ca="1" si="2"/>
        <v>13</v>
      </c>
      <c r="K28" s="39" t="str">
        <f t="shared" si="3"/>
        <v>Quebec</v>
      </c>
    </row>
    <row r="29" spans="2:14" x14ac:dyDescent="0.25">
      <c r="B29" s="37" t="s">
        <v>6</v>
      </c>
      <c r="C29" s="37" t="str">
        <f>VLOOKUP(B29, Credits!$B$9:$C$22, 2, FALSE)</f>
        <v>nb</v>
      </c>
      <c r="D29" s="53">
        <f ca="1">VLOOKUP(B29, Credits!$B$9:$D$22, 3, FALSE)</f>
        <v>9388</v>
      </c>
      <c r="E29" s="71">
        <f ca="1">IF(Salary-Rates!F22&lt;0,Salary*Rates!D22,IF(Salary-Rates!F23&lt;0,Rates!E22*Rates!D22+(Salary-Rates!F22)*Rates!D23,IF(Salary-Rates!F24&lt;0,Rates!E22*Rates!D22+Rates!E23*Rates!D23+(Salary-Rates!F23)*Rates!D24,Rates!E22*Rates!D22+Rates!E23*Rates!D23+Rates!E24*Rates!D24+(Salary-Rates!F24)*Rates!D25)))-IF(Salary&lt;D29, Salary*VLOOKUP(B29, Credits!$B$9:$E$22, 4, FALSE), D29*VLOOKUP(B29, Credits!$B$9:$E$22, 4, FALSE))</f>
        <v>9044.9590000000007</v>
      </c>
      <c r="F29" s="27">
        <f t="shared" ca="1" si="0"/>
        <v>23039.989000000001</v>
      </c>
      <c r="G29" s="27">
        <f ca="1">E29-(IF(Taxable_Income-Rates!F22&lt;0,Taxable_Income*Rates!D22,IF(Taxable_Income-Rates!F23&lt;0,Rates!E22*Rates!D22+(Taxable_Income-Rates!F22)*Rates!D23,IF(Taxable_Income-Rates!F24&lt;0,Rates!E22*Rates!D22+Rates!E23*Rates!D23+(Taxable_Income-Rates!F23)*Rates!D24,Rates!E22*Rates!D22+Rates!E23*Rates!D23+Rates!E24*Rates!D24+(Taxable_Income-Rates!F24)*Rates!D25)))-IF(Taxable_Income&lt;D29, Taxable_Income*VLOOKUP(B29, Credits!$B$9:$E$22, 4, FALSE), D29*VLOOKUP(B29, Credits!$B$9:$E$22, 4, FALSE)))+$F$39</f>
        <v>5496.2999999999993</v>
      </c>
      <c r="H29" s="16">
        <f t="shared" ca="1" si="1"/>
        <v>0.27105869411764705</v>
      </c>
      <c r="I29" s="15">
        <f ca="1">IF(Salary-Rates!F22&lt;0,Rates!D22,IF(Salary-Rates!F23&lt;0,Rates!D23,IF(Salary-Rates!F24&lt;0,Rates!D24,Rates!D25)))+H39</f>
        <v>0.36460000000000004</v>
      </c>
      <c r="J29" s="27">
        <f t="shared" ca="1" si="2"/>
        <v>9</v>
      </c>
      <c r="K29" s="39" t="str">
        <f t="shared" si="3"/>
        <v>New Brunswick</v>
      </c>
    </row>
    <row r="30" spans="2:14" x14ac:dyDescent="0.25">
      <c r="B30" s="37" t="s">
        <v>12</v>
      </c>
      <c r="C30" s="37" t="str">
        <f>VLOOKUP(B30, Credits!$B$9:$C$22, 2, FALSE)</f>
        <v>nl</v>
      </c>
      <c r="D30" s="53">
        <f ca="1">VLOOKUP(B30, Credits!$B$9:$D$22, 3, FALSE)</f>
        <v>8451</v>
      </c>
      <c r="E30" s="71">
        <f ca="1">IF(Salary-Rates!F11&lt;0,Salary*Rates!D11,IF(Salary-Rates!F12&lt;0,Rates!E11*Rates!D11+(Salary-Rates!F11)*Rates!D12,Rates!E11*Rates!D11+Rates!E12*Rates!D12+(Salary-Rates!F12)*Rates!D13))-IF(Salary&lt;D30, Salary*VLOOKUP(B30, Credits!$B$9:$E$22, 4, FALSE), D30*VLOOKUP(B30, Credits!$B$9:$E$22, 4, FALSE))</f>
        <v>8494.4009999999998</v>
      </c>
      <c r="F30" s="27">
        <f t="shared" ca="1" si="0"/>
        <v>22489.430999999997</v>
      </c>
      <c r="G30" s="27">
        <f ca="1">E30-(IF(Taxable_Income-Rates!F11&lt;0,Taxable_Income*Rates!D11,IF(Taxable_Income-Rates!F12&lt;0,Rates!E11*Rates!D11+(Taxable_Income-Rates!F11)*Rates!D12,Rates!E11*Rates!D11+Rates!E12*Rates!D12+(Taxable_Income-Rates!F12)*Rates!D13))-IF(Taxable_Income&lt;D30, Taxable_Income*VLOOKUP(B30, Credits!$B$9:$E$22, 4, FALSE), D30*VLOOKUP(B30, Credits!$B$9:$E$22, 4, FALSE)))+$F$39</f>
        <v>5400.9000000000005</v>
      </c>
      <c r="H30" s="16">
        <f t="shared" ca="1" si="1"/>
        <v>0.26458154117647054</v>
      </c>
      <c r="I30" s="15">
        <f ca="1">IF(Salary-Rates!F11&lt;0,Rates!D11,IF(Salary-Rates!F12&lt;0,Rates!D12,Rates!D13))+H39</f>
        <v>0.35299999999999998</v>
      </c>
      <c r="J30" s="27">
        <f t="shared" ca="1" si="2"/>
        <v>7</v>
      </c>
      <c r="K30" s="39" t="str">
        <f t="shared" si="3"/>
        <v>Newfoundland and Labrador</v>
      </c>
    </row>
    <row r="31" spans="2:14" x14ac:dyDescent="0.25">
      <c r="B31" s="37" t="s">
        <v>7</v>
      </c>
      <c r="C31" s="37" t="str">
        <f>VLOOKUP(B31, Credits!$B$9:$C$22, 2, FALSE)</f>
        <v>ns</v>
      </c>
      <c r="D31" s="53">
        <f ca="1">VLOOKUP(B31, Credits!$B$9:$D$22, 3, FALSE)</f>
        <v>8481</v>
      </c>
      <c r="E31" s="71">
        <f ca="1">IF(Salary-Rates!F17&lt;0,Salary*Rates!D17,IF(Salary-Rates!F18&lt;0,Rates!E17*Rates!D17+(Salary-Rates!F17)*Rates!D18,IF(Salary-Rates!F19&lt;0, SUMPRODUCT(Rates!D17:D18, Rates!E17:E18)+(Salary-Rates!F18)*Rates!D19,IF(Salary-Rates!F20&lt;0,  SUMPRODUCT(Rates!D17:D19, Rates!E17:E19)+(Salary-Rates!F19)*Rates!D20, SUMPRODUCT(Rates!D17:D20, Rates!E17:E20)+(Salary-Rates!F20)*Rates!D21))))-IF(Salary&lt;D31, Salary*VLOOKUP(B31, Credits!$B$9:$E$22, 4, FALSE), D31*VLOOKUP(B31, Credits!$B$9:$E$22, 4, FALSE))</f>
        <v>10583.3801</v>
      </c>
      <c r="F31" s="27">
        <f t="shared" ca="1" si="0"/>
        <v>24578.410100000001</v>
      </c>
      <c r="G31" s="27">
        <f ca="1">E31-(IF(Taxable_Income-Rates!F17&lt;0,Taxable_Income*Rates!D17,IF(Taxable_Income-Rates!F18&lt;0,Rates!E17*Rates!D17+(Taxable_Income-Rates!F17)*Rates!D18,IF(Taxable_Income-Rates!F19&lt;0, SUMPRODUCT(Rates!D17:D18, Rates!E17:E18)+(Taxable_Income-Rates!F18)*Rates!D19,IF(Taxable_Income-Rates!F20&lt;0,  SUMPRODUCT(Rates!D17:D19, Rates!E17:E19)+(Taxable_Income-Rates!F19)*Rates!D20, SUMPRODUCT(Rates!D17:D20, Rates!E17:E20)+(Taxable_Income-Rates!F20)*Rates!D21))))-IF(Taxable_Income&lt;D31, Taxable_Income*VLOOKUP(B31, Credits!$B$9:$E$22, 4, FALSE), D31*VLOOKUP(B31, Credits!$B$9:$E$22, 4, FALSE)))+$F$39</f>
        <v>5916.510000000002</v>
      </c>
      <c r="H31" s="16">
        <f t="shared" ca="1" si="1"/>
        <v>0.28915776588235298</v>
      </c>
      <c r="I31" s="15">
        <f ca="1">IF(Salary-Rates!F17&lt;0,Rates!D17,IF(Salary-Rates!F18&lt;0,Rates!D18,IF(Salary-Rates!F19&lt;0, Rates!D19,IF(Salary-Rates!F20&lt;0,  Rates!D20, Rates!D21))))+H39</f>
        <v>0.38670000000000004</v>
      </c>
      <c r="J31" s="27">
        <f t="shared" ca="1" si="2"/>
        <v>12</v>
      </c>
      <c r="K31" s="39" t="str">
        <f t="shared" si="3"/>
        <v>Nova Scotia</v>
      </c>
    </row>
    <row r="32" spans="2:14" x14ac:dyDescent="0.25">
      <c r="B32" s="37" t="s">
        <v>5</v>
      </c>
      <c r="C32" s="37" t="str">
        <f>VLOOKUP(B32, Credits!$B$9:$C$22, 2, FALSE)</f>
        <v>pe</v>
      </c>
      <c r="D32" s="53">
        <f ca="1">VLOOKUP(B32, Credits!$B$9:$D$22, 3, FALSE)</f>
        <v>7708</v>
      </c>
      <c r="E32" s="71">
        <f ca="1">IF(Salary-Rates!F14&lt;0,Salary*Rates!D14,IF(Salary-Rates!F15&lt;0,Rates!E14*Rates!D14+(Salary-Rates!F14)*Rates!D15,Rates!E14*Rates!D14+Rates!E15*Rates!D15+(Salary-Rates!F15)*Rates!D16))-IF(Salary&lt;D32, Salary*VLOOKUP(B32, Credits!$B$9:$E$22, 4, FALSE), D32*VLOOKUP(B32, Credits!$B$9:$E$22, 4, FALSE))</f>
        <v>10305.155000000001</v>
      </c>
      <c r="F32" s="27">
        <f t="shared" ca="1" si="0"/>
        <v>24300.184999999998</v>
      </c>
      <c r="G32" s="27">
        <f ca="1">E32-(IF(Taxable_Income-Rates!F14&lt;0,Taxable_Income*Rates!D14,IF(Taxable_Income-Rates!F15&lt;0,Rates!E14*Rates!D14+(Taxable_Income-Rates!F14)*Rates!D15,Rates!E14*Rates!D14+Rates!E15*Rates!D15+(Taxable_Income-Rates!F15)*Rates!D16))-IF(Taxable_Income&lt;D32, Taxable_Income*VLOOKUP(B32, Credits!$B$9:$E$22, 4, FALSE), D32*VLOOKUP(B32, Credits!$B$9:$E$22, 4, FALSE)))+$F$39</f>
        <v>5921.1</v>
      </c>
      <c r="H32" s="16">
        <f t="shared" ca="1" si="1"/>
        <v>0.28588452941176468</v>
      </c>
      <c r="I32" s="15">
        <f ca="1">IF(Salary-Rates!F14&lt;0,Rates!D14,IF(Salary-Rates!F15&lt;0,Rates!D15,Rates!D16))+H39</f>
        <v>0.38700000000000001</v>
      </c>
      <c r="J32" s="27">
        <f t="shared" ca="1" si="2"/>
        <v>11</v>
      </c>
      <c r="K32" s="39" t="str">
        <f t="shared" si="3"/>
        <v>Prince Edward Island</v>
      </c>
    </row>
    <row r="33" spans="2:11" x14ac:dyDescent="0.25">
      <c r="B33" s="37" t="s">
        <v>8</v>
      </c>
      <c r="C33" s="37" t="str">
        <f>VLOOKUP(B33, Credits!$B$9:$C$22, 2, FALSE)</f>
        <v>nt</v>
      </c>
      <c r="D33" s="53">
        <f ca="1">VLOOKUP(B33, Credits!$B$9:$D$22, 3, FALSE)</f>
        <v>13546</v>
      </c>
      <c r="E33" s="71">
        <f ca="1">IF(Salary-Rates!F50&lt;0,Salary*Rates!D50,IF(Salary-Rates!F51&lt;0,Rates!E50*Rates!D50+(Salary-Rates!F50)*Rates!D51,IF(Salary-Rates!F52&lt;0,Rates!E50*Rates!D50+Rates!E51*Rates!D51+(Salary-Rates!F51)*Rates!D52,Rates!E50*Rates!D50+Rates!E51*Rates!D51+Rates!E52*Rates!D52+(Salary-Rates!F52)*Rates!D53)))-IF(Salary&lt;D33, Salary*VLOOKUP(B33, Credits!$B$9:$E$22, 4, FALSE), D33*VLOOKUP(B33, Credits!$B$9:$E$22, 4, FALSE))</f>
        <v>5664.8670000000002</v>
      </c>
      <c r="F33" s="27">
        <f t="shared" ca="1" si="0"/>
        <v>19659.896999999997</v>
      </c>
      <c r="G33" s="27">
        <f ca="1">E33-(IF(Taxable_Income-Rates!F50&lt;0,Taxable_Income*Rates!D50,IF(Taxable_Income-Rates!F51&lt;0,Rates!E50*Rates!D50+(Taxable_Income-Rates!F50)*Rates!D51,IF(Taxable_Income-Rates!F52&lt;0,Rates!E50*Rates!D50+Rates!E51*Rates!D51+(Taxable_Income-Rates!F51)*Rates!D52,Rates!E50*Rates!D50+Rates!E51*Rates!D51+Rates!E52*Rates!D52+(Taxable_Income-Rates!F52)*Rates!D53)))-IF(Taxable_Income&lt;D33, Taxable_Income*VLOOKUP(B33, Credits!$B$9:$E$22, 4, FALSE), D33*VLOOKUP(B33, Credits!$B$9:$E$22, 4, FALSE)))+$F$39</f>
        <v>4901.1120000000001</v>
      </c>
      <c r="H33" s="16">
        <f t="shared" ca="1" si="1"/>
        <v>0.23129290588235291</v>
      </c>
      <c r="I33" s="15">
        <f ca="1">IF(Salary-Rates!F50&lt;0,Rates!D50,IF(Salary-Rates!F51&lt;0,Rates!D51,IF(Salary-Rates!F52&lt;0,Rates!D52,Rates!D53)))+H39</f>
        <v>0.34199999999999997</v>
      </c>
      <c r="J33" s="27">
        <f t="shared" ca="1" si="2"/>
        <v>3</v>
      </c>
      <c r="K33" s="39" t="str">
        <f t="shared" si="3"/>
        <v>Northwest Territories</v>
      </c>
    </row>
    <row r="34" spans="2:11" x14ac:dyDescent="0.25">
      <c r="B34" s="37" t="s">
        <v>9</v>
      </c>
      <c r="C34" s="37" t="str">
        <f>VLOOKUP(B34, Credits!$B$9:$C$22, 2, FALSE)</f>
        <v>nu</v>
      </c>
      <c r="D34" s="53">
        <f ca="1">VLOOKUP(B34, Credits!$B$9:$D$22, 3, FALSE)</f>
        <v>12455</v>
      </c>
      <c r="E34" s="71">
        <f ca="1">IF(Salary-Rates!F54&lt;0,Salary*Rates!D54,IF(Salary-Rates!F55&lt;0,Rates!E54*Rates!D54+(Salary-Rates!F54)*Rates!D55,IF(Salary-Rates!F56&lt;0,Rates!E54*Rates!D54+Rates!E55*Rates!D55+(Salary-Rates!F55)*Rates!D56,Rates!E54*Rates!D54+Rates!E55*Rates!D55+Rates!E56*Rates!D56+(Salary-Rates!F56)*Rates!D57)))-IF(Salary&lt;D34, Salary*VLOOKUP(B34, Credits!$B$9:$E$22, 4, FALSE), D34*VLOOKUP(B34, Credits!$B$9:$E$22, 4, FALSE))</f>
        <v>4244.33</v>
      </c>
      <c r="F34" s="27">
        <f t="shared" ca="1" si="0"/>
        <v>18239.36</v>
      </c>
      <c r="G34" s="27">
        <f ca="1">E34-(IF(Taxable_Income-Rates!F54&lt;0,Taxable_Income*Rates!D54,IF(Taxable_Income-Rates!F55&lt;0,Rates!E54*Rates!D54+(Taxable_Income-Rates!F54)*Rates!D55,IF(Taxable_Income-Rates!F56&lt;0,Rates!E54*Rates!D54+Rates!E55*Rates!D55+(Taxable_Income-Rates!F55)*Rates!D56,Rates!E54*Rates!D54+Rates!E55*Rates!D55+Rates!E56*Rates!D56+(Taxable_Income-Rates!F56)*Rates!D57)))-IF(Taxable_Income&lt;D34, Taxable_Income*VLOOKUP(B34, Credits!$B$9:$E$22, 4, FALSE), D34*VLOOKUP(B34, Credits!$B$9:$E$22, 4, FALSE)))+$F$39</f>
        <v>4475.58</v>
      </c>
      <c r="H34" s="16">
        <f t="shared" ca="1" si="1"/>
        <v>0.21458070588235295</v>
      </c>
      <c r="I34" s="15">
        <f ca="1">IF(Salary-Rates!F54&lt;0,Rates!D54,IF(Salary-Rates!F55&lt;0,Rates!D55,IF(Salary-Rates!F56&lt;0,Rates!D56,Rates!D57)))+H39</f>
        <v>0.31</v>
      </c>
      <c r="J34" s="27">
        <f t="shared" ca="1" si="2"/>
        <v>1</v>
      </c>
      <c r="K34" s="39" t="str">
        <f t="shared" si="3"/>
        <v>Nunavut</v>
      </c>
    </row>
    <row r="35" spans="2:11" x14ac:dyDescent="0.25">
      <c r="B35" s="37" t="s">
        <v>23</v>
      </c>
      <c r="C35" s="37" t="str">
        <f>VLOOKUP(B35, Credits!$B$9:$C$22, 2, FALSE)</f>
        <v>yt</v>
      </c>
      <c r="D35" s="53">
        <f ca="1">VLOOKUP(B35, Credits!$B$9:$D$22, 3, FALSE)</f>
        <v>11038</v>
      </c>
      <c r="E35" s="83">
        <f ca="1">IF(Salary-Rates!F46&lt;0,Salary*Rates!D46,IF(Salary-Rates!F47&lt;0,Rates!E46*Rates!D46+(Salary-Rates!F46)*Rates!D47,IF(Salary-Rates!F48&lt;0,Rates!E46*Rates!D46+Rates!E47*Rates!D47+(Salary-Rates!F47)*Rates!D48,Rates!E46*Rates!D46+Rates!E47*Rates!D47+Rates!E48*Rates!D48+(Salary-Rates!F48)*Rates!D49)))-IF(Salary&lt;D35, Salary*VLOOKUP(B35, Credits!$B$9:$E$22, 4, FALSE), D35*VLOOKUP(B35, Credits!$B$9:$E$22, 4, FALSE))</f>
        <v>6300.9144000000006</v>
      </c>
      <c r="F35" s="27">
        <f t="shared" ca="1" si="0"/>
        <v>20295.9444</v>
      </c>
      <c r="G35" s="27">
        <f ca="1">E35-(IF(Taxable_Income-Rates!F46&lt;0,Taxable_Income*Rates!D46,IF(Taxable_Income-Rates!F47&lt;0,Rates!E46*Rates!D46+(Taxable_Income-Rates!F46)*Rates!D47,IF(Taxable_Income-Rates!F48&lt;0,Rates!E46*Rates!D46+Rates!E47*Rates!D47+(Taxable_Income-Rates!F47)*Rates!D48,Rates!E46*Rates!D46+Rates!E47*Rates!D47+Rates!E48*Rates!D48+(Taxable_Income-Rates!F48)*Rates!D49)))-IF(Taxable_Income&lt;D35, Taxable_Income*VLOOKUP(B35, Credits!$B$9:$E$22, 4, FALSE), D35*VLOOKUP(B35, Credits!$B$9:$E$22, 4, FALSE)))+$F$39</f>
        <v>4847.0400000000009</v>
      </c>
      <c r="H35" s="16">
        <f t="shared" ca="1" si="1"/>
        <v>0.23877581647058824</v>
      </c>
      <c r="I35" s="15">
        <f ca="1">IF(Salary-Rates!F46&lt;0,Rates!D46,IF(Salary-Rates!F47&lt;0,Rates!D47,IF(Salary-Rates!F48&lt;0,Rates!D48,Rates!D49)))+H39</f>
        <v>0.31679999999999997</v>
      </c>
      <c r="J35" s="27">
        <f t="shared" ca="1" si="2"/>
        <v>5</v>
      </c>
      <c r="K35" s="39" t="str">
        <f t="shared" si="3"/>
        <v>Yukon</v>
      </c>
    </row>
    <row r="36" spans="2:11" x14ac:dyDescent="0.25">
      <c r="J36" s="39" t="str">
        <f>B35</f>
        <v>Yukon</v>
      </c>
    </row>
    <row r="37" spans="2:11" ht="15.75" thickBot="1" x14ac:dyDescent="0.3"/>
    <row r="38" spans="2:11" ht="15.75" thickBot="1" x14ac:dyDescent="0.3">
      <c r="B38" s="59" t="s">
        <v>11</v>
      </c>
      <c r="C38" s="59" t="s">
        <v>98</v>
      </c>
      <c r="D38" s="60" t="s">
        <v>104</v>
      </c>
      <c r="E38" s="59" t="s">
        <v>69</v>
      </c>
      <c r="F38" s="59" t="s">
        <v>116</v>
      </c>
      <c r="G38" s="60" t="s">
        <v>102</v>
      </c>
      <c r="H38" s="60" t="s">
        <v>103</v>
      </c>
      <c r="I38" s="59" t="s">
        <v>75</v>
      </c>
    </row>
    <row r="39" spans="2:11" x14ac:dyDescent="0.25">
      <c r="B39" s="37" t="s">
        <v>10</v>
      </c>
      <c r="C39" s="37"/>
      <c r="D39" s="53">
        <f ca="1">VLOOKUP(B39, Credits!$B$9:$D$22, 3, FALSE)</f>
        <v>11038</v>
      </c>
      <c r="E39" s="27">
        <f ca="1">IF(Salary-Rates!$F$7&lt;0,Salary*Rates!$D$7,IF(Salary-Rates!$F$8&lt;0,Rates!$E$7*Rates!$D$7+(Salary-Rates!$F$7)*Rates!$D$8,IF(Salary-Rates!$F$9&lt;0,SUMPRODUCT(Rates!$D$7:$D$8, Rates!$E$7:$E$8)+(Salary-Rates!$F$8)*Rates!$D$9, SUMPRODUCT(Rates!$D$7:$D$9, Rates!$E$7:$E$9)+(Salary-Rates!$F$9)*Rates!$D$10)))-IF(Salary&lt;D39, Salary*VLOOKUP(B39, Credits!$B$9:$E$22, 4, FALSE), D39*VLOOKUP(B39, Credits!$B$9:$E$22, 4, FALSE))</f>
        <v>13995.029999999999</v>
      </c>
      <c r="F39" s="27">
        <f ca="1">E39-(IF(Taxable_Income-Rates!$F$7&lt;0,Taxable_Income*Rates!$D$7,IF(Taxable_Income-Rates!$F$8&lt;0,Rates!$E$7*Rates!$D$7+(Taxable_Income-Rates!$F$7)*Rates!$D$8,IF(Taxable_Income-Rates!$F$9&lt;0,SUMPRODUCT(Rates!$D$7:$D$8, Rates!$E$7:$E$8)+(Taxable_Income-Rates!$F$8)*Rates!$D$9, SUMPRODUCT(Rates!$D$7:$D$9, Rates!$E$7:$E$9)+(Taxable_Income-Rates!$F$9)*Rates!$D$10)))-IF(Taxable_Income&lt;D39, Taxable_Income*VLOOKUP(B39, Credits!$B$9:$E$22, 4, FALSE), D39*VLOOKUP(B39, Credits!$B$9:$E$22, 4, FALSE)))</f>
        <v>3366</v>
      </c>
      <c r="G39" s="16">
        <f ca="1">IF(ISERROR(E39/Salary), 0, E39/Salary)</f>
        <v>0.16464741176470588</v>
      </c>
      <c r="H39" s="15">
        <f ca="1">IF(Salary-Rates!$F$7&lt;0,Rates!$D$7,IF(Salary-Rates!$F$8&lt;0,Rates!$D$8,IF(Salary-Rates!$F$9&lt;0,Rates!$D$9, Rates!$D$10)))</f>
        <v>0.22</v>
      </c>
      <c r="I39" s="58"/>
    </row>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theme="9" tint="-0.249977111117893"/>
  </sheetPr>
  <dimension ref="A1:F57"/>
  <sheetViews>
    <sheetView workbookViewId="0">
      <pane ySplit="6" topLeftCell="A7" activePane="bottomLeft" state="frozen"/>
      <selection activeCell="E7" sqref="E7"/>
      <selection pane="bottomLeft" activeCell="A7" sqref="A7"/>
    </sheetView>
  </sheetViews>
  <sheetFormatPr defaultRowHeight="15" x14ac:dyDescent="0.25"/>
  <cols>
    <col min="2" max="2" width="27.7109375" customWidth="1"/>
    <col min="3" max="3" width="46.7109375" customWidth="1"/>
    <col min="5" max="5" width="9.85546875" bestFit="1" customWidth="1"/>
    <col min="6" max="6" width="11.140625" bestFit="1" customWidth="1"/>
  </cols>
  <sheetData>
    <row r="1" spans="1:6" ht="18.75" x14ac:dyDescent="0.3">
      <c r="A1" s="4" t="s">
        <v>27</v>
      </c>
    </row>
    <row r="2" spans="1:6" x14ac:dyDescent="0.25">
      <c r="A2" s="48" t="s">
        <v>84</v>
      </c>
      <c r="B2" s="48" t="s">
        <v>100</v>
      </c>
    </row>
    <row r="3" spans="1:6" x14ac:dyDescent="0.25">
      <c r="A3" s="48"/>
      <c r="D3" s="15"/>
      <c r="E3" s="15"/>
    </row>
    <row r="4" spans="1:6" x14ac:dyDescent="0.25">
      <c r="B4" s="28" t="s">
        <v>151</v>
      </c>
      <c r="C4" s="90">
        <v>2013</v>
      </c>
    </row>
    <row r="5" spans="1:6" ht="15.75" thickBot="1" x14ac:dyDescent="0.3">
      <c r="B5" s="91"/>
      <c r="C5" s="90"/>
    </row>
    <row r="6" spans="1:6" ht="15.75" thickBot="1" x14ac:dyDescent="0.3">
      <c r="B6" s="22" t="s">
        <v>11</v>
      </c>
      <c r="C6" s="22" t="s">
        <v>106</v>
      </c>
      <c r="D6" s="23" t="s">
        <v>62</v>
      </c>
      <c r="E6" s="23" t="s">
        <v>63</v>
      </c>
      <c r="F6" s="24" t="s">
        <v>70</v>
      </c>
    </row>
    <row r="7" spans="1:6" x14ac:dyDescent="0.25">
      <c r="B7" s="121" t="s">
        <v>10</v>
      </c>
      <c r="C7" s="6" t="s">
        <v>61</v>
      </c>
      <c r="D7" s="16">
        <v>0.15</v>
      </c>
      <c r="E7" s="29">
        <f ca="1">43561*(1+Inflation)^(C4-YEAR(TODAY()))</f>
        <v>43561</v>
      </c>
      <c r="F7" s="10">
        <f ca="1">SUM($E$7:E7)</f>
        <v>43561</v>
      </c>
    </row>
    <row r="8" spans="1:6" x14ac:dyDescent="0.25">
      <c r="B8" s="122"/>
      <c r="C8" s="7" t="s">
        <v>28</v>
      </c>
      <c r="D8" s="16">
        <v>0.22</v>
      </c>
      <c r="E8" s="30">
        <f ca="1">43562*(1+Inflation)^(C4-YEAR(TODAY()))</f>
        <v>43562</v>
      </c>
      <c r="F8" s="11">
        <f ca="1">SUM($E$7:E8)</f>
        <v>87123</v>
      </c>
    </row>
    <row r="9" spans="1:6" x14ac:dyDescent="0.25">
      <c r="B9" s="122"/>
      <c r="C9" s="7" t="s">
        <v>29</v>
      </c>
      <c r="D9" s="16">
        <v>0.26</v>
      </c>
      <c r="E9" s="30">
        <f ca="1">47931*(1+Inflation)^(C4-YEAR(TODAY()))</f>
        <v>47931</v>
      </c>
      <c r="F9" s="11">
        <f ca="1">SUM($E$7:E9)</f>
        <v>135054</v>
      </c>
    </row>
    <row r="10" spans="1:6" x14ac:dyDescent="0.25">
      <c r="B10" s="122"/>
      <c r="C10" s="8" t="s">
        <v>64</v>
      </c>
      <c r="D10" s="16">
        <v>0.28999999999999998</v>
      </c>
      <c r="E10" s="31"/>
      <c r="F10" s="12"/>
    </row>
    <row r="11" spans="1:6" ht="15" customHeight="1" x14ac:dyDescent="0.25">
      <c r="B11" s="119" t="s">
        <v>12</v>
      </c>
      <c r="C11" s="1" t="s">
        <v>30</v>
      </c>
      <c r="D11" s="17">
        <v>7.6999999999999999E-2</v>
      </c>
      <c r="E11" s="30">
        <f ca="1">33748*(1+Inflation)^(C4-YEAR(TODAY()))</f>
        <v>33748</v>
      </c>
      <c r="F11" s="11">
        <f ca="1">SUM($E$11:E11)</f>
        <v>33748</v>
      </c>
    </row>
    <row r="12" spans="1:6" x14ac:dyDescent="0.25">
      <c r="B12" s="119"/>
      <c r="C12" s="1" t="s">
        <v>31</v>
      </c>
      <c r="D12" s="18">
        <v>0.125</v>
      </c>
      <c r="E12" s="30">
        <f ca="1">33748*(1+Inflation)^(C4-YEAR(TODAY()))</f>
        <v>33748</v>
      </c>
      <c r="F12" s="11">
        <f ca="1">SUM($E$11:E12)</f>
        <v>67496</v>
      </c>
    </row>
    <row r="13" spans="1:6" x14ac:dyDescent="0.25">
      <c r="B13" s="119"/>
      <c r="C13" s="1" t="s">
        <v>13</v>
      </c>
      <c r="D13" s="19">
        <v>0.13300000000000001</v>
      </c>
      <c r="E13" s="30"/>
      <c r="F13" s="11"/>
    </row>
    <row r="14" spans="1:6" ht="15" customHeight="1" x14ac:dyDescent="0.25">
      <c r="B14" s="119" t="s">
        <v>5</v>
      </c>
      <c r="C14" s="9" t="s">
        <v>32</v>
      </c>
      <c r="D14" s="17">
        <v>9.8000000000000004E-2</v>
      </c>
      <c r="E14" s="32">
        <f ca="1">31984*(1+Inflation)^(C4-YEAR(TODAY()))</f>
        <v>31984</v>
      </c>
      <c r="F14" s="13">
        <f ca="1">SUM($E$14:E14)</f>
        <v>31984</v>
      </c>
    </row>
    <row r="15" spans="1:6" x14ac:dyDescent="0.25">
      <c r="B15" s="119"/>
      <c r="C15" s="7" t="s">
        <v>33</v>
      </c>
      <c r="D15" s="18">
        <v>0.13800000000000001</v>
      </c>
      <c r="E15" s="30">
        <f ca="1">31985*(1+Inflation)^(C4-YEAR(TODAY()))</f>
        <v>31985</v>
      </c>
      <c r="F15" s="11">
        <f ca="1">SUM($E$14:E15)</f>
        <v>63969</v>
      </c>
    </row>
    <row r="16" spans="1:6" x14ac:dyDescent="0.25">
      <c r="B16" s="119"/>
      <c r="C16" s="8" t="s">
        <v>14</v>
      </c>
      <c r="D16" s="19">
        <v>0.16699999999999998</v>
      </c>
      <c r="E16" s="31"/>
      <c r="F16" s="12"/>
    </row>
    <row r="17" spans="2:6" ht="15" customHeight="1" x14ac:dyDescent="0.25">
      <c r="B17" s="119" t="s">
        <v>7</v>
      </c>
      <c r="C17" s="1" t="s">
        <v>34</v>
      </c>
      <c r="D17" s="17">
        <v>8.7899999999999992E-2</v>
      </c>
      <c r="E17" s="30">
        <f ca="1">29590*(1+Inflation)^(C4-YEAR(TODAY()))</f>
        <v>29590</v>
      </c>
      <c r="F17" s="11">
        <f ca="1">SUM($E$17:E17)</f>
        <v>29590</v>
      </c>
    </row>
    <row r="18" spans="2:6" x14ac:dyDescent="0.25">
      <c r="B18" s="119"/>
      <c r="C18" s="1" t="s">
        <v>35</v>
      </c>
      <c r="D18" s="18">
        <v>0.14949999999999999</v>
      </c>
      <c r="E18" s="30">
        <f ca="1">29590*(1+Inflation)^(C4-YEAR(TODAY()))</f>
        <v>29590</v>
      </c>
      <c r="F18" s="11">
        <f ca="1">SUM($E$17:E18)</f>
        <v>59180</v>
      </c>
    </row>
    <row r="19" spans="2:6" x14ac:dyDescent="0.25">
      <c r="B19" s="119"/>
      <c r="C19" s="1" t="s">
        <v>36</v>
      </c>
      <c r="D19" s="18">
        <v>0.16670000000000001</v>
      </c>
      <c r="E19" s="30">
        <f ca="1">33820*(1+Inflation)^(C4-YEAR(TODAY()))</f>
        <v>33820</v>
      </c>
      <c r="F19" s="11">
        <f ca="1">SUM($E$17:E19)</f>
        <v>93000</v>
      </c>
    </row>
    <row r="20" spans="2:6" x14ac:dyDescent="0.25">
      <c r="B20" s="119"/>
      <c r="C20" s="1" t="s">
        <v>37</v>
      </c>
      <c r="D20" s="18">
        <v>0.17499999999999999</v>
      </c>
      <c r="E20" s="30">
        <f ca="1">57000*(1+Inflation)^(C4-YEAR(TODAY()))</f>
        <v>57000</v>
      </c>
      <c r="F20" s="11">
        <f ca="1">SUM($E$17:E20)</f>
        <v>150000</v>
      </c>
    </row>
    <row r="21" spans="2:6" x14ac:dyDescent="0.25">
      <c r="B21" s="119"/>
      <c r="C21" s="1" t="s">
        <v>15</v>
      </c>
      <c r="D21" s="19">
        <v>0.21</v>
      </c>
      <c r="E21" s="31"/>
      <c r="F21" s="11"/>
    </row>
    <row r="22" spans="2:6" ht="15" customHeight="1" x14ac:dyDescent="0.25">
      <c r="B22" s="119" t="s">
        <v>6</v>
      </c>
      <c r="C22" s="9" t="s">
        <v>38</v>
      </c>
      <c r="D22" s="16">
        <v>9.3900000000000011E-2</v>
      </c>
      <c r="E22" s="30">
        <f ca="1">38954*(1+Inflation)^(C4-YEAR(TODAY()))</f>
        <v>38954</v>
      </c>
      <c r="F22" s="13">
        <f ca="1">SUM($E$22:E22)</f>
        <v>38954</v>
      </c>
    </row>
    <row r="23" spans="2:6" x14ac:dyDescent="0.25">
      <c r="B23" s="119"/>
      <c r="C23" s="7" t="s">
        <v>39</v>
      </c>
      <c r="D23" s="16">
        <v>0.1346</v>
      </c>
      <c r="E23" s="30">
        <f ca="1">38954*(1+Inflation)^(C4-YEAR(TODAY()))</f>
        <v>38954</v>
      </c>
      <c r="F23" s="11">
        <f ca="1">SUM($E$22:E23)</f>
        <v>77908</v>
      </c>
    </row>
    <row r="24" spans="2:6" x14ac:dyDescent="0.25">
      <c r="B24" s="119"/>
      <c r="C24" s="7" t="s">
        <v>40</v>
      </c>
      <c r="D24" s="16">
        <v>0.14460000000000001</v>
      </c>
      <c r="E24" s="30">
        <f ca="1">48754*(1+Inflation)^(C4-YEAR(TODAY()))</f>
        <v>48754</v>
      </c>
      <c r="F24" s="11">
        <f ca="1">SUM($E$22:E24)</f>
        <v>126662</v>
      </c>
    </row>
    <row r="25" spans="2:6" x14ac:dyDescent="0.25">
      <c r="B25" s="119"/>
      <c r="C25" s="8" t="s">
        <v>16</v>
      </c>
      <c r="D25" s="19">
        <v>0.16070000000000001</v>
      </c>
      <c r="E25" s="31"/>
      <c r="F25" s="12"/>
    </row>
    <row r="26" spans="2:6" x14ac:dyDescent="0.25">
      <c r="B26" s="119" t="s">
        <v>4</v>
      </c>
      <c r="C26" s="9" t="s">
        <v>72</v>
      </c>
      <c r="D26" s="16">
        <v>0.16</v>
      </c>
      <c r="E26" s="30">
        <f ca="1">40100*(1+Inflation)^(C4-YEAR(TODAY()))</f>
        <v>40100</v>
      </c>
      <c r="F26" s="11">
        <f ca="1">SUM($E$26:E26)</f>
        <v>40100</v>
      </c>
    </row>
    <row r="27" spans="2:6" x14ac:dyDescent="0.25">
      <c r="B27" s="119"/>
      <c r="C27" s="7" t="s">
        <v>73</v>
      </c>
      <c r="D27" s="16">
        <v>0.2</v>
      </c>
      <c r="E27" s="30">
        <f ca="1">42090*(1+Inflation)^(C4-YEAR(TODAY()))</f>
        <v>42090</v>
      </c>
      <c r="F27" s="11">
        <f ca="1">SUM($E$26:E27)</f>
        <v>82190</v>
      </c>
    </row>
    <row r="28" spans="2:6" x14ac:dyDescent="0.25">
      <c r="B28" s="119"/>
      <c r="C28" s="7" t="s">
        <v>74</v>
      </c>
      <c r="D28" s="16">
        <v>0.24</v>
      </c>
      <c r="E28" s="30">
        <f ca="1">17810*(1+Inflation)^(C4-YEAR(TODAY()))</f>
        <v>17810</v>
      </c>
      <c r="F28" s="11">
        <f ca="1">SUM($E$26:E28)</f>
        <v>100000</v>
      </c>
    </row>
    <row r="29" spans="2:6" x14ac:dyDescent="0.25">
      <c r="B29" s="119"/>
      <c r="C29" s="8" t="s">
        <v>71</v>
      </c>
      <c r="D29" s="19">
        <v>0.25750000000000001</v>
      </c>
      <c r="E29" s="30"/>
      <c r="F29" s="11"/>
    </row>
    <row r="30" spans="2:6" x14ac:dyDescent="0.25">
      <c r="B30" s="119" t="s">
        <v>3</v>
      </c>
      <c r="C30" s="9" t="s">
        <v>41</v>
      </c>
      <c r="D30" s="16">
        <v>5.0499999999999996E-2</v>
      </c>
      <c r="E30" s="32">
        <f ca="1">39723*(1+Inflation)^(C4-YEAR(TODAY()))</f>
        <v>39723</v>
      </c>
      <c r="F30" s="13">
        <f ca="1">SUM($E$30:E30)</f>
        <v>39723</v>
      </c>
    </row>
    <row r="31" spans="2:6" x14ac:dyDescent="0.25">
      <c r="B31" s="119"/>
      <c r="C31" s="7" t="s">
        <v>42</v>
      </c>
      <c r="D31" s="16">
        <v>9.1499999999999998E-2</v>
      </c>
      <c r="E31" s="30">
        <f ca="1">39725*(1+Inflation)^(C4-YEAR(TODAY()))</f>
        <v>39725</v>
      </c>
      <c r="F31" s="11">
        <f ca="1">SUM($E$30:E31)</f>
        <v>79448</v>
      </c>
    </row>
    <row r="32" spans="2:6" x14ac:dyDescent="0.25">
      <c r="B32" s="119"/>
      <c r="C32" s="7" t="s">
        <v>43</v>
      </c>
      <c r="D32" s="16">
        <v>0.1116</v>
      </c>
      <c r="E32" s="30">
        <f ca="1">429552*(1+Inflation)^(C4-YEAR(TODAY()))</f>
        <v>429552</v>
      </c>
      <c r="F32" s="11">
        <f ca="1">SUM($E$30:E32)</f>
        <v>509000</v>
      </c>
    </row>
    <row r="33" spans="2:6" x14ac:dyDescent="0.25">
      <c r="B33" s="119"/>
      <c r="C33" s="8" t="s">
        <v>17</v>
      </c>
      <c r="D33" s="19">
        <v>0.13159999999999999</v>
      </c>
      <c r="E33" s="31"/>
      <c r="F33" s="12"/>
    </row>
    <row r="34" spans="2:6" x14ac:dyDescent="0.25">
      <c r="B34" s="119" t="s">
        <v>2</v>
      </c>
      <c r="C34" s="1" t="s">
        <v>44</v>
      </c>
      <c r="D34" s="16">
        <v>0.10800000000000001</v>
      </c>
      <c r="E34" s="30">
        <f ca="1">31000*(1+Inflation)^(C4-YEAR(TODAY()))</f>
        <v>31000</v>
      </c>
      <c r="F34" s="11">
        <f ca="1">SUM($E$34:E34)</f>
        <v>31000</v>
      </c>
    </row>
    <row r="35" spans="2:6" x14ac:dyDescent="0.25">
      <c r="B35" s="119"/>
      <c r="C35" s="1" t="s">
        <v>45</v>
      </c>
      <c r="D35" s="16">
        <v>0.1275</v>
      </c>
      <c r="E35" s="30">
        <f ca="1">36000*(1+Inflation)^(C4-YEAR(TODAY()))</f>
        <v>36000</v>
      </c>
      <c r="F35" s="11">
        <f ca="1">SUM($E$34:E35)</f>
        <v>67000</v>
      </c>
    </row>
    <row r="36" spans="2:6" x14ac:dyDescent="0.25">
      <c r="B36" s="119"/>
      <c r="C36" s="1" t="s">
        <v>18</v>
      </c>
      <c r="D36" s="19">
        <v>0.17399999999999999</v>
      </c>
      <c r="E36" s="30"/>
      <c r="F36" s="11"/>
    </row>
    <row r="37" spans="2:6" ht="15" customHeight="1" x14ac:dyDescent="0.25">
      <c r="B37" s="119" t="s">
        <v>19</v>
      </c>
      <c r="C37" s="9" t="s">
        <v>46</v>
      </c>
      <c r="D37" s="16">
        <v>0.11</v>
      </c>
      <c r="E37" s="32">
        <f ca="1">42906*(1+Inflation)^(C4-YEAR(TODAY()))</f>
        <v>42906</v>
      </c>
      <c r="F37" s="13">
        <f ca="1">SUM($E$37:E37)</f>
        <v>42906</v>
      </c>
    </row>
    <row r="38" spans="2:6" x14ac:dyDescent="0.25">
      <c r="B38" s="119"/>
      <c r="C38" s="7" t="s">
        <v>47</v>
      </c>
      <c r="D38" s="16">
        <v>0.13</v>
      </c>
      <c r="E38" s="30">
        <f ca="1">79683*(1+Inflation)^(C4-YEAR(TODAY()))</f>
        <v>79683</v>
      </c>
      <c r="F38" s="11">
        <f ca="1">SUM($E$37:E38)</f>
        <v>122589</v>
      </c>
    </row>
    <row r="39" spans="2:6" x14ac:dyDescent="0.25">
      <c r="B39" s="119"/>
      <c r="C39" s="8" t="s">
        <v>20</v>
      </c>
      <c r="D39" s="16">
        <v>0.15</v>
      </c>
      <c r="E39" s="31"/>
      <c r="F39" s="12"/>
    </row>
    <row r="40" spans="2:6" x14ac:dyDescent="0.25">
      <c r="B40" s="2" t="s">
        <v>1</v>
      </c>
      <c r="C40" s="1" t="s">
        <v>21</v>
      </c>
      <c r="D40" s="20">
        <v>0.1</v>
      </c>
      <c r="E40" s="30"/>
      <c r="F40" s="11"/>
    </row>
    <row r="41" spans="2:6" ht="15" customHeight="1" x14ac:dyDescent="0.25">
      <c r="B41" s="119" t="s">
        <v>0</v>
      </c>
      <c r="C41" s="9" t="s">
        <v>48</v>
      </c>
      <c r="D41" s="16">
        <v>5.0599999999999999E-2</v>
      </c>
      <c r="E41" s="32">
        <f ca="1">37568*(1+Inflation)^(C4-YEAR(TODAY()))</f>
        <v>37568</v>
      </c>
      <c r="F41" s="13">
        <f ca="1">SUM($E$41:E41)</f>
        <v>37568</v>
      </c>
    </row>
    <row r="42" spans="2:6" x14ac:dyDescent="0.25">
      <c r="B42" s="119"/>
      <c r="C42" s="7" t="s">
        <v>49</v>
      </c>
      <c r="D42" s="16">
        <v>7.6999999999999999E-2</v>
      </c>
      <c r="E42" s="30">
        <f ca="1">37570*(1+Inflation)^(C4-YEAR(TODAY()))</f>
        <v>37570</v>
      </c>
      <c r="F42" s="11">
        <f ca="1">SUM($E$41:E42)</f>
        <v>75138</v>
      </c>
    </row>
    <row r="43" spans="2:6" x14ac:dyDescent="0.25">
      <c r="B43" s="119"/>
      <c r="C43" s="7" t="s">
        <v>50</v>
      </c>
      <c r="D43" s="16">
        <v>0.105</v>
      </c>
      <c r="E43" s="30">
        <f ca="1">11130*(1+Inflation)^(C4-YEAR(TODAY()))</f>
        <v>11130</v>
      </c>
      <c r="F43" s="11">
        <f ca="1">SUM($E$41:E43)</f>
        <v>86268</v>
      </c>
    </row>
    <row r="44" spans="2:6" x14ac:dyDescent="0.25">
      <c r="B44" s="119"/>
      <c r="C44" s="7" t="s">
        <v>51</v>
      </c>
      <c r="D44" s="16">
        <v>0.1229</v>
      </c>
      <c r="E44" s="30">
        <f ca="1">18486*(1+Inflation)^(C4-YEAR(TODAY()))</f>
        <v>18486</v>
      </c>
      <c r="F44" s="11">
        <f ca="1">SUM($E$41:E44)</f>
        <v>104754</v>
      </c>
    </row>
    <row r="45" spans="2:6" x14ac:dyDescent="0.25">
      <c r="B45" s="119"/>
      <c r="C45" s="8" t="s">
        <v>22</v>
      </c>
      <c r="D45" s="19">
        <v>0.14699999999999999</v>
      </c>
      <c r="E45" s="31"/>
      <c r="F45" s="12"/>
    </row>
    <row r="46" spans="2:6" x14ac:dyDescent="0.25">
      <c r="B46" s="119" t="s">
        <v>23</v>
      </c>
      <c r="C46" s="1" t="s">
        <v>52</v>
      </c>
      <c r="D46" s="16">
        <v>7.0400000000000004E-2</v>
      </c>
      <c r="E46" s="30">
        <f ca="1">43561*(1+Inflation)^(C4-YEAR(TODAY()))</f>
        <v>43561</v>
      </c>
      <c r="F46" s="11">
        <f ca="1">SUM($E$46:E46)</f>
        <v>43561</v>
      </c>
    </row>
    <row r="47" spans="2:6" x14ac:dyDescent="0.25">
      <c r="B47" s="119"/>
      <c r="C47" s="1" t="s">
        <v>53</v>
      </c>
      <c r="D47" s="16">
        <v>9.6799999999999997E-2</v>
      </c>
      <c r="E47" s="30">
        <f ca="1">43562*(1+Inflation)^(C4-YEAR(TODAY()))</f>
        <v>43562</v>
      </c>
      <c r="F47" s="11">
        <f ca="1">SUM($E$46:E47)</f>
        <v>87123</v>
      </c>
    </row>
    <row r="48" spans="2:6" x14ac:dyDescent="0.25">
      <c r="B48" s="119"/>
      <c r="C48" s="1" t="s">
        <v>54</v>
      </c>
      <c r="D48" s="16">
        <v>0.1144</v>
      </c>
      <c r="E48" s="30">
        <f ca="1">47931*(1+Inflation)^(C4-YEAR(TODAY()))</f>
        <v>47931</v>
      </c>
      <c r="F48" s="11">
        <f ca="1">SUM($E$46:E48)</f>
        <v>135054</v>
      </c>
    </row>
    <row r="49" spans="2:6" x14ac:dyDescent="0.25">
      <c r="B49" s="119"/>
      <c r="C49" s="1" t="s">
        <v>24</v>
      </c>
      <c r="D49" s="16">
        <v>0.12759999999999999</v>
      </c>
      <c r="E49" s="31"/>
      <c r="F49" s="11"/>
    </row>
    <row r="50" spans="2:6" ht="15" customHeight="1" x14ac:dyDescent="0.25">
      <c r="B50" s="119" t="s">
        <v>8</v>
      </c>
      <c r="C50" s="9" t="s">
        <v>55</v>
      </c>
      <c r="D50" s="17">
        <v>5.9000000000000004E-2</v>
      </c>
      <c r="E50" s="30">
        <f ca="1">39453*(1+Inflation)^(C4-YEAR(TODAY()))</f>
        <v>39453</v>
      </c>
      <c r="F50" s="13">
        <f ca="1">SUM($E$50:E50)</f>
        <v>39453</v>
      </c>
    </row>
    <row r="51" spans="2:6" x14ac:dyDescent="0.25">
      <c r="B51" s="119"/>
      <c r="C51" s="7" t="s">
        <v>56</v>
      </c>
      <c r="D51" s="16">
        <v>8.5999999999999993E-2</v>
      </c>
      <c r="E51" s="30">
        <f ca="1">39455*(1+Inflation)^(C4-YEAR(TODAY()))</f>
        <v>39455</v>
      </c>
      <c r="F51" s="11">
        <f ca="1">SUM($E$50:E51)</f>
        <v>78908</v>
      </c>
    </row>
    <row r="52" spans="2:6" x14ac:dyDescent="0.25">
      <c r="B52" s="119"/>
      <c r="C52" s="7" t="s">
        <v>57</v>
      </c>
      <c r="D52" s="16">
        <v>0.122</v>
      </c>
      <c r="E52" s="30">
        <f ca="1">49378*(1+Inflation)^(C4-YEAR(TODAY()))</f>
        <v>49378</v>
      </c>
      <c r="F52" s="11">
        <f ca="1">SUM($E$50:E52)</f>
        <v>128286</v>
      </c>
    </row>
    <row r="53" spans="2:6" x14ac:dyDescent="0.25">
      <c r="B53" s="119"/>
      <c r="C53" s="8" t="s">
        <v>25</v>
      </c>
      <c r="D53" s="19">
        <v>0.14050000000000001</v>
      </c>
      <c r="E53" s="31"/>
      <c r="F53" s="12"/>
    </row>
    <row r="54" spans="2:6" x14ac:dyDescent="0.25">
      <c r="B54" s="119" t="s">
        <v>9</v>
      </c>
      <c r="C54" s="1" t="s">
        <v>58</v>
      </c>
      <c r="D54" s="16">
        <v>0.04</v>
      </c>
      <c r="E54" s="30">
        <f ca="1">41535*(1+Inflation)^(C4-YEAR(TODAY()))</f>
        <v>41535</v>
      </c>
      <c r="F54" s="11">
        <f ca="1">SUM($E$54:E54)</f>
        <v>41535</v>
      </c>
    </row>
    <row r="55" spans="2:6" x14ac:dyDescent="0.25">
      <c r="B55" s="119"/>
      <c r="C55" s="1" t="s">
        <v>59</v>
      </c>
      <c r="D55" s="16">
        <v>7.0000000000000007E-2</v>
      </c>
      <c r="E55" s="30">
        <f ca="1">41536*(1+Inflation)^(C4-YEAR(TODAY()))</f>
        <v>41536</v>
      </c>
      <c r="F55" s="11">
        <f ca="1">SUM($E$54:E55)</f>
        <v>83071</v>
      </c>
    </row>
    <row r="56" spans="2:6" x14ac:dyDescent="0.25">
      <c r="B56" s="119"/>
      <c r="C56" s="1" t="s">
        <v>60</v>
      </c>
      <c r="D56" s="16">
        <v>0.09</v>
      </c>
      <c r="E56" s="30">
        <f ca="1">51983*(1+Inflation)^(C4-YEAR(TODAY()))</f>
        <v>51983</v>
      </c>
      <c r="F56" s="11">
        <f ca="1">SUM($E$54:E56)</f>
        <v>135054</v>
      </c>
    </row>
    <row r="57" spans="2:6" ht="15.75" thickBot="1" x14ac:dyDescent="0.3">
      <c r="B57" s="120"/>
      <c r="C57" s="5" t="s">
        <v>26</v>
      </c>
      <c r="D57" s="21">
        <v>0.115</v>
      </c>
      <c r="E57" s="33"/>
      <c r="F57" s="14"/>
    </row>
  </sheetData>
  <mergeCells count="13">
    <mergeCell ref="B54:B57"/>
    <mergeCell ref="B7:B10"/>
    <mergeCell ref="B11:B13"/>
    <mergeCell ref="B14:B16"/>
    <mergeCell ref="B17:B21"/>
    <mergeCell ref="B22:B25"/>
    <mergeCell ref="B30:B33"/>
    <mergeCell ref="B34:B36"/>
    <mergeCell ref="B37:B39"/>
    <mergeCell ref="B41:B45"/>
    <mergeCell ref="B46:B49"/>
    <mergeCell ref="B50:B53"/>
    <mergeCell ref="B26:B29"/>
  </mergeCells>
  <hyperlinks>
    <hyperlink ref="B2" r:id="rId1"/>
  </hyperlinks>
  <pageMargins left="0.7" right="0.7" top="0.75" bottom="0.75" header="0.3" footer="0.3"/>
  <pageSetup orientation="portrait"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theme="9" tint="-0.249977111117893"/>
  </sheetPr>
  <dimension ref="A1:F22"/>
  <sheetViews>
    <sheetView workbookViewId="0">
      <pane ySplit="8" topLeftCell="A9" activePane="bottomLeft" state="frozen"/>
      <selection activeCell="E7" sqref="E7"/>
      <selection pane="bottomLeft" activeCell="A9" sqref="A9"/>
    </sheetView>
  </sheetViews>
  <sheetFormatPr defaultRowHeight="15" x14ac:dyDescent="0.25"/>
  <cols>
    <col min="2" max="3" width="27.7109375" customWidth="1"/>
    <col min="4" max="5" width="20.42578125" bestFit="1" customWidth="1"/>
    <col min="6" max="6" width="9.5703125" bestFit="1" customWidth="1"/>
  </cols>
  <sheetData>
    <row r="1" spans="1:6" ht="18.75" x14ac:dyDescent="0.3">
      <c r="A1" s="4" t="s">
        <v>83</v>
      </c>
    </row>
    <row r="2" spans="1:6" x14ac:dyDescent="0.25">
      <c r="A2" s="48" t="s">
        <v>84</v>
      </c>
      <c r="B2" s="48" t="str">
        <f>"http://www.cra-arc.gc.ca/E/pbg/tf/td1"&amp;C5&amp;"/td1"&amp;C5&amp;"-13e.pdf"</f>
        <v>http://www.cra-arc.gc.ca/E/pbg/tf/td1bc/td1bc-13e.pdf</v>
      </c>
      <c r="C2" s="47"/>
    </row>
    <row r="3" spans="1:6" x14ac:dyDescent="0.25">
      <c r="A3" s="48"/>
      <c r="C3" s="47"/>
    </row>
    <row r="4" spans="1:6" x14ac:dyDescent="0.25">
      <c r="A4" s="48"/>
      <c r="B4" s="28" t="s">
        <v>76</v>
      </c>
      <c r="C4" s="42" t="s">
        <v>0</v>
      </c>
      <c r="D4" s="28"/>
      <c r="E4" s="15"/>
    </row>
    <row r="5" spans="1:6" x14ac:dyDescent="0.25">
      <c r="A5" s="48"/>
      <c r="B5" s="28" t="s">
        <v>99</v>
      </c>
      <c r="C5" s="51" t="str">
        <f>VLOOKUP(C4, B9:C22, 2, FALSE)</f>
        <v>bc</v>
      </c>
      <c r="D5" s="28"/>
      <c r="E5" s="89"/>
    </row>
    <row r="6" spans="1:6" x14ac:dyDescent="0.25">
      <c r="A6" s="48"/>
      <c r="B6" s="28" t="s">
        <v>151</v>
      </c>
      <c r="C6" s="92">
        <v>2013</v>
      </c>
      <c r="D6" s="28"/>
      <c r="E6" s="89"/>
    </row>
    <row r="7" spans="1:6" ht="15.75" thickBot="1" x14ac:dyDescent="0.3">
      <c r="B7" s="3"/>
      <c r="C7" s="3"/>
    </row>
    <row r="8" spans="1:6" ht="30.75" thickBot="1" x14ac:dyDescent="0.3">
      <c r="B8" s="22" t="s">
        <v>11</v>
      </c>
      <c r="C8" s="23" t="s">
        <v>98</v>
      </c>
      <c r="D8" s="68" t="s">
        <v>108</v>
      </c>
      <c r="E8" s="68" t="s">
        <v>107</v>
      </c>
      <c r="F8" s="43"/>
    </row>
    <row r="9" spans="1:6" x14ac:dyDescent="0.25">
      <c r="B9" s="6" t="s">
        <v>1</v>
      </c>
      <c r="C9" s="49" t="s">
        <v>85</v>
      </c>
      <c r="D9" s="64">
        <f ca="1">17593*(1+Inflation)^(C6-YEAR(TODAY()))</f>
        <v>17593</v>
      </c>
      <c r="E9" s="66">
        <v>0.1</v>
      </c>
      <c r="F9" s="115"/>
    </row>
    <row r="10" spans="1:6" x14ac:dyDescent="0.25">
      <c r="B10" s="7" t="s">
        <v>0</v>
      </c>
      <c r="C10" s="49" t="s">
        <v>86</v>
      </c>
      <c r="D10" s="64">
        <f ca="1">10276*(1+Inflation)^(C6-YEAR(TODAY()))</f>
        <v>10276</v>
      </c>
      <c r="E10" s="66">
        <v>5.0599999999999999E-2</v>
      </c>
      <c r="F10" s="115"/>
    </row>
    <row r="11" spans="1:6" x14ac:dyDescent="0.25">
      <c r="B11" s="44" t="s">
        <v>10</v>
      </c>
      <c r="C11" s="49"/>
      <c r="D11" s="64">
        <f ca="1">11038*(1+Inflation)^(C6-YEAR(TODAY()))</f>
        <v>11038</v>
      </c>
      <c r="E11" s="66">
        <v>0.15</v>
      </c>
      <c r="F11" s="115"/>
    </row>
    <row r="12" spans="1:6" x14ac:dyDescent="0.25">
      <c r="B12" s="7" t="s">
        <v>2</v>
      </c>
      <c r="C12" s="49" t="s">
        <v>87</v>
      </c>
      <c r="D12" s="64">
        <f ca="1">8884*(1+Inflation)^(C6-YEAR(TODAY()))</f>
        <v>8884</v>
      </c>
      <c r="E12" s="66">
        <v>0.108</v>
      </c>
      <c r="F12" s="115"/>
    </row>
    <row r="13" spans="1:6" ht="15" customHeight="1" x14ac:dyDescent="0.25">
      <c r="B13" s="7" t="s">
        <v>6</v>
      </c>
      <c r="C13" s="49" t="s">
        <v>88</v>
      </c>
      <c r="D13" s="64">
        <f ca="1">9388*(1+Inflation)^(C6-YEAR(TODAY()))</f>
        <v>9388</v>
      </c>
      <c r="E13" s="66">
        <v>9.3899999999999997E-2</v>
      </c>
      <c r="F13" s="115"/>
    </row>
    <row r="14" spans="1:6" x14ac:dyDescent="0.25">
      <c r="B14" s="7" t="s">
        <v>12</v>
      </c>
      <c r="C14" s="49" t="s">
        <v>94</v>
      </c>
      <c r="D14" s="64">
        <f ca="1">8451*(1+Inflation)^(C6-YEAR(TODAY()))</f>
        <v>8451</v>
      </c>
      <c r="E14" s="66">
        <v>7.6999999999999999E-2</v>
      </c>
      <c r="F14" s="115"/>
    </row>
    <row r="15" spans="1:6" x14ac:dyDescent="0.25">
      <c r="B15" s="7" t="s">
        <v>8</v>
      </c>
      <c r="C15" s="49" t="s">
        <v>89</v>
      </c>
      <c r="D15" s="64">
        <f ca="1">13546*(1+Inflation)^(C6-YEAR(TODAY()))</f>
        <v>13546</v>
      </c>
      <c r="E15" s="66">
        <v>5.8999999999999997E-2</v>
      </c>
      <c r="F15" s="115"/>
    </row>
    <row r="16" spans="1:6" ht="15" customHeight="1" x14ac:dyDescent="0.25">
      <c r="B16" s="7" t="s">
        <v>7</v>
      </c>
      <c r="C16" s="49" t="s">
        <v>90</v>
      </c>
      <c r="D16" s="64">
        <f ca="1">8481*(1+Inflation)^(C6-YEAR(TODAY()))</f>
        <v>8481</v>
      </c>
      <c r="E16" s="66">
        <v>8.7900000000000006E-2</v>
      </c>
      <c r="F16" s="115"/>
    </row>
    <row r="17" spans="2:6" x14ac:dyDescent="0.25">
      <c r="B17" s="7" t="s">
        <v>9</v>
      </c>
      <c r="C17" s="49" t="s">
        <v>95</v>
      </c>
      <c r="D17" s="64">
        <f ca="1">12455*(1+Inflation)^(C6-YEAR(TODAY()))</f>
        <v>12455</v>
      </c>
      <c r="E17" s="66">
        <v>0.04</v>
      </c>
      <c r="F17" s="115"/>
    </row>
    <row r="18" spans="2:6" x14ac:dyDescent="0.25">
      <c r="B18" s="7" t="s">
        <v>3</v>
      </c>
      <c r="C18" s="49" t="s">
        <v>91</v>
      </c>
      <c r="D18" s="64">
        <f ca="1">9574*(1+Inflation)^(C6-YEAR(TODAY()))</f>
        <v>9574</v>
      </c>
      <c r="E18" s="66">
        <v>5.0500000000000003E-2</v>
      </c>
      <c r="F18" s="115"/>
    </row>
    <row r="19" spans="2:6" ht="15" customHeight="1" x14ac:dyDescent="0.25">
      <c r="B19" s="7" t="s">
        <v>5</v>
      </c>
      <c r="C19" s="49" t="s">
        <v>96</v>
      </c>
      <c r="D19" s="64">
        <f ca="1">7708*(1+Inflation)^(C6-YEAR(TODAY()))</f>
        <v>7708</v>
      </c>
      <c r="E19" s="66">
        <v>9.8000000000000004E-2</v>
      </c>
      <c r="F19" s="43"/>
    </row>
    <row r="20" spans="2:6" x14ac:dyDescent="0.25">
      <c r="B20" s="7" t="s">
        <v>4</v>
      </c>
      <c r="C20" s="49" t="s">
        <v>92</v>
      </c>
      <c r="D20" s="64">
        <f ca="1">11195*(1+Inflation)^(C6-YEAR(TODAY()))</f>
        <v>11195</v>
      </c>
      <c r="E20" s="66">
        <v>0.16</v>
      </c>
      <c r="F20" s="43"/>
    </row>
    <row r="21" spans="2:6" x14ac:dyDescent="0.25">
      <c r="B21" s="7" t="s">
        <v>19</v>
      </c>
      <c r="C21" s="49" t="s">
        <v>93</v>
      </c>
      <c r="D21" s="64">
        <f ca="1">15241*(1+Inflation)^(C6-YEAR(TODAY()))</f>
        <v>15241</v>
      </c>
      <c r="E21" s="66">
        <v>0.11</v>
      </c>
      <c r="F21" s="43"/>
    </row>
    <row r="22" spans="2:6" ht="15.75" thickBot="1" x14ac:dyDescent="0.3">
      <c r="B22" s="45" t="s">
        <v>23</v>
      </c>
      <c r="C22" s="50" t="s">
        <v>97</v>
      </c>
      <c r="D22" s="65">
        <f ca="1">11038*(1+Inflation)^(C6-YEAR(TODAY()))</f>
        <v>11038</v>
      </c>
      <c r="E22" s="67">
        <v>7.0400000000000004E-2</v>
      </c>
      <c r="F22" s="43"/>
    </row>
  </sheetData>
  <sortState ref="B4:C54">
    <sortCondition ref="B4:B54"/>
  </sortState>
  <dataValidations count="1">
    <dataValidation type="list" allowBlank="1" showInputMessage="1" showErrorMessage="1" sqref="C4">
      <formula1>Territory</formula1>
    </dataValidation>
  </dataValidation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50"/>
  <sheetViews>
    <sheetView workbookViewId="0"/>
  </sheetViews>
  <sheetFormatPr defaultRowHeight="15" x14ac:dyDescent="0.25"/>
  <cols>
    <col min="2" max="2" width="27.7109375" bestFit="1" customWidth="1"/>
  </cols>
  <sheetData>
    <row r="1" spans="1:2" ht="18.75" x14ac:dyDescent="0.3">
      <c r="A1" s="4" t="s">
        <v>66</v>
      </c>
    </row>
    <row r="2" spans="1:2" x14ac:dyDescent="0.25">
      <c r="B2" s="3"/>
    </row>
    <row r="3" spans="1:2" x14ac:dyDescent="0.25">
      <c r="B3" s="26" t="s">
        <v>11</v>
      </c>
    </row>
    <row r="4" spans="1:2" x14ac:dyDescent="0.25">
      <c r="B4" s="1" t="s">
        <v>1</v>
      </c>
    </row>
    <row r="5" spans="1:2" x14ac:dyDescent="0.25">
      <c r="B5" s="1" t="s">
        <v>0</v>
      </c>
    </row>
    <row r="6" spans="1:2" x14ac:dyDescent="0.25">
      <c r="B6" s="1" t="s">
        <v>2</v>
      </c>
    </row>
    <row r="7" spans="1:2" x14ac:dyDescent="0.25">
      <c r="B7" s="1" t="s">
        <v>6</v>
      </c>
    </row>
    <row r="8" spans="1:2" ht="15" customHeight="1" x14ac:dyDescent="0.25">
      <c r="B8" s="1" t="s">
        <v>12</v>
      </c>
    </row>
    <row r="9" spans="1:2" x14ac:dyDescent="0.25">
      <c r="B9" s="1" t="s">
        <v>8</v>
      </c>
    </row>
    <row r="10" spans="1:2" x14ac:dyDescent="0.25">
      <c r="B10" s="1" t="s">
        <v>7</v>
      </c>
    </row>
    <row r="11" spans="1:2" ht="15" customHeight="1" x14ac:dyDescent="0.25">
      <c r="B11" s="1" t="s">
        <v>9</v>
      </c>
    </row>
    <row r="12" spans="1:2" x14ac:dyDescent="0.25">
      <c r="B12" s="1" t="s">
        <v>3</v>
      </c>
    </row>
    <row r="13" spans="1:2" x14ac:dyDescent="0.25">
      <c r="B13" s="1" t="s">
        <v>5</v>
      </c>
    </row>
    <row r="14" spans="1:2" ht="15" customHeight="1" x14ac:dyDescent="0.25">
      <c r="B14" s="1" t="s">
        <v>4</v>
      </c>
    </row>
    <row r="15" spans="1:2" x14ac:dyDescent="0.25">
      <c r="B15" s="1" t="s">
        <v>19</v>
      </c>
    </row>
    <row r="16" spans="1:2" x14ac:dyDescent="0.25">
      <c r="B16" s="1" t="s">
        <v>23</v>
      </c>
    </row>
    <row r="17" spans="2:2" x14ac:dyDescent="0.25">
      <c r="B17" s="25"/>
    </row>
    <row r="18" spans="2:2" x14ac:dyDescent="0.25">
      <c r="B18" s="25"/>
    </row>
    <row r="19" spans="2:2" ht="15" customHeight="1" x14ac:dyDescent="0.25">
      <c r="B19" s="25"/>
    </row>
    <row r="20" spans="2:2" x14ac:dyDescent="0.25">
      <c r="B20" s="1"/>
    </row>
    <row r="21" spans="2:2" x14ac:dyDescent="0.25">
      <c r="B21" s="1"/>
    </row>
    <row r="22" spans="2:2" x14ac:dyDescent="0.25">
      <c r="B22" s="1"/>
    </row>
    <row r="23" spans="2:2" x14ac:dyDescent="0.25">
      <c r="B23" s="1"/>
    </row>
    <row r="24" spans="2:2" x14ac:dyDescent="0.25">
      <c r="B24" s="1"/>
    </row>
    <row r="25" spans="2:2" x14ac:dyDescent="0.25">
      <c r="B25" s="1"/>
    </row>
    <row r="26" spans="2:2" x14ac:dyDescent="0.25">
      <c r="B26" s="1"/>
    </row>
    <row r="27" spans="2:2" x14ac:dyDescent="0.25">
      <c r="B27" s="1"/>
    </row>
    <row r="28" spans="2:2" x14ac:dyDescent="0.25">
      <c r="B28" s="1"/>
    </row>
    <row r="29" spans="2:2" x14ac:dyDescent="0.25">
      <c r="B29" s="1"/>
    </row>
    <row r="30" spans="2:2" x14ac:dyDescent="0.25">
      <c r="B30" s="1"/>
    </row>
    <row r="31" spans="2:2" ht="15" customHeight="1" x14ac:dyDescent="0.25">
      <c r="B31" s="1"/>
    </row>
    <row r="32" spans="2:2" x14ac:dyDescent="0.25">
      <c r="B32" s="1"/>
    </row>
    <row r="33" spans="2:2" x14ac:dyDescent="0.25">
      <c r="B33" s="1"/>
    </row>
    <row r="34" spans="2:2" x14ac:dyDescent="0.25">
      <c r="B34" s="1"/>
    </row>
    <row r="35" spans="2:2" ht="15" customHeight="1" x14ac:dyDescent="0.25">
      <c r="B35" s="1"/>
    </row>
    <row r="36" spans="2:2" x14ac:dyDescent="0.25">
      <c r="B36" s="1"/>
    </row>
    <row r="37" spans="2:2" x14ac:dyDescent="0.25">
      <c r="B37" s="1"/>
    </row>
    <row r="38" spans="2:2" x14ac:dyDescent="0.25">
      <c r="B38" s="1"/>
    </row>
    <row r="39" spans="2:2" x14ac:dyDescent="0.25">
      <c r="B39" s="1"/>
    </row>
    <row r="40" spans="2:2" x14ac:dyDescent="0.25">
      <c r="B40" s="1"/>
    </row>
    <row r="41" spans="2:2" x14ac:dyDescent="0.25">
      <c r="B41" s="1"/>
    </row>
    <row r="42" spans="2:2" x14ac:dyDescent="0.25">
      <c r="B42" s="1"/>
    </row>
    <row r="43" spans="2:2" x14ac:dyDescent="0.25">
      <c r="B43" s="1"/>
    </row>
    <row r="44" spans="2:2" ht="15" customHeight="1" x14ac:dyDescent="0.25">
      <c r="B44" s="1"/>
    </row>
    <row r="45" spans="2:2" x14ac:dyDescent="0.25">
      <c r="B45" s="1"/>
    </row>
    <row r="46" spans="2:2" x14ac:dyDescent="0.25">
      <c r="B46" s="1"/>
    </row>
    <row r="47" spans="2:2" x14ac:dyDescent="0.25">
      <c r="B47" s="1"/>
    </row>
    <row r="48" spans="2:2" x14ac:dyDescent="0.25">
      <c r="B48" s="1"/>
    </row>
    <row r="49" spans="2:2" x14ac:dyDescent="0.25">
      <c r="B49" s="1"/>
    </row>
    <row r="50" spans="2:2" x14ac:dyDescent="0.25">
      <c r="B50" s="1"/>
    </row>
  </sheetData>
  <sortState ref="B4:B48">
    <sortCondition ref="B4:B48"/>
  </sortState>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theme="7" tint="-0.249977111117893"/>
  </sheetPr>
  <dimension ref="A1:I67"/>
  <sheetViews>
    <sheetView workbookViewId="0">
      <selection activeCell="B20" sqref="B20"/>
    </sheetView>
  </sheetViews>
  <sheetFormatPr defaultRowHeight="15" x14ac:dyDescent="0.25"/>
  <cols>
    <col min="2" max="2" width="36.5703125" bestFit="1" customWidth="1"/>
    <col min="3" max="3" width="5.28515625" bestFit="1" customWidth="1"/>
    <col min="4" max="4" width="6.28515625" bestFit="1" customWidth="1"/>
    <col min="5" max="5" width="26.140625" bestFit="1" customWidth="1"/>
    <col min="9" max="9" width="10.7109375" bestFit="1" customWidth="1"/>
  </cols>
  <sheetData>
    <row r="1" spans="1:9" ht="18.75" x14ac:dyDescent="0.3">
      <c r="A1" s="4" t="s">
        <v>134</v>
      </c>
    </row>
    <row r="2" spans="1:9" x14ac:dyDescent="0.25">
      <c r="A2" s="48"/>
      <c r="B2" s="48"/>
    </row>
    <row r="3" spans="1:9" x14ac:dyDescent="0.25">
      <c r="B3" s="84" t="s">
        <v>135</v>
      </c>
      <c r="C3" s="84" t="s">
        <v>136</v>
      </c>
      <c r="D3" s="84" t="s">
        <v>148</v>
      </c>
      <c r="E3" s="84" t="s">
        <v>137</v>
      </c>
      <c r="F3" s="84" t="s">
        <v>138</v>
      </c>
      <c r="G3" s="84" t="s">
        <v>139</v>
      </c>
      <c r="I3" s="84" t="s">
        <v>141</v>
      </c>
    </row>
    <row r="4" spans="1:9" x14ac:dyDescent="0.25">
      <c r="B4" s="88" t="s">
        <v>144</v>
      </c>
      <c r="C4" t="s">
        <v>145</v>
      </c>
      <c r="D4" t="s">
        <v>149</v>
      </c>
      <c r="E4" t="s">
        <v>146</v>
      </c>
      <c r="F4" s="87">
        <v>1.1019999999999999E-3</v>
      </c>
      <c r="I4" s="86">
        <v>39844</v>
      </c>
    </row>
    <row r="5" spans="1:9" x14ac:dyDescent="0.25">
      <c r="B5" s="88" t="s">
        <v>147</v>
      </c>
      <c r="C5" t="s">
        <v>145</v>
      </c>
      <c r="D5" t="s">
        <v>150</v>
      </c>
      <c r="E5" t="s">
        <v>146</v>
      </c>
      <c r="F5" s="87">
        <v>1.6999999999999999E-3</v>
      </c>
      <c r="I5" s="86">
        <f>EOMONTH(I4, 1)</f>
        <v>39872</v>
      </c>
    </row>
    <row r="6" spans="1:9" x14ac:dyDescent="0.25">
      <c r="B6" t="s">
        <v>140</v>
      </c>
      <c r="I6" s="86">
        <f>EOMONTH(I5, 1)</f>
        <v>39903</v>
      </c>
    </row>
    <row r="7" spans="1:9" x14ac:dyDescent="0.25">
      <c r="I7" s="86">
        <f t="shared" ref="I7:I63" si="0">EOMONTH(I6, 1)</f>
        <v>39933</v>
      </c>
    </row>
    <row r="8" spans="1:9" x14ac:dyDescent="0.25">
      <c r="I8" s="86">
        <f t="shared" si="0"/>
        <v>39964</v>
      </c>
    </row>
    <row r="9" spans="1:9" x14ac:dyDescent="0.25">
      <c r="I9" s="86">
        <f t="shared" si="0"/>
        <v>39994</v>
      </c>
    </row>
    <row r="10" spans="1:9" x14ac:dyDescent="0.25">
      <c r="I10" s="86">
        <f t="shared" si="0"/>
        <v>40025</v>
      </c>
    </row>
    <row r="11" spans="1:9" x14ac:dyDescent="0.25">
      <c r="I11" s="86">
        <f t="shared" si="0"/>
        <v>40056</v>
      </c>
    </row>
    <row r="12" spans="1:9" x14ac:dyDescent="0.25">
      <c r="I12" s="86">
        <f t="shared" si="0"/>
        <v>40086</v>
      </c>
    </row>
    <row r="13" spans="1:9" x14ac:dyDescent="0.25">
      <c r="I13" s="86">
        <f t="shared" si="0"/>
        <v>40117</v>
      </c>
    </row>
    <row r="14" spans="1:9" x14ac:dyDescent="0.25">
      <c r="I14" s="86">
        <f t="shared" si="0"/>
        <v>40147</v>
      </c>
    </row>
    <row r="15" spans="1:9" x14ac:dyDescent="0.25">
      <c r="I15" s="86">
        <f t="shared" si="0"/>
        <v>40178</v>
      </c>
    </row>
    <row r="16" spans="1:9" x14ac:dyDescent="0.25">
      <c r="I16" s="86">
        <f t="shared" si="0"/>
        <v>40209</v>
      </c>
    </row>
    <row r="17" spans="9:9" x14ac:dyDescent="0.25">
      <c r="I17" s="86">
        <f t="shared" si="0"/>
        <v>40237</v>
      </c>
    </row>
    <row r="18" spans="9:9" x14ac:dyDescent="0.25">
      <c r="I18" s="86">
        <f t="shared" si="0"/>
        <v>40268</v>
      </c>
    </row>
    <row r="19" spans="9:9" x14ac:dyDescent="0.25">
      <c r="I19" s="86">
        <f t="shared" si="0"/>
        <v>40298</v>
      </c>
    </row>
    <row r="20" spans="9:9" x14ac:dyDescent="0.25">
      <c r="I20" s="86">
        <f t="shared" si="0"/>
        <v>40329</v>
      </c>
    </row>
    <row r="21" spans="9:9" x14ac:dyDescent="0.25">
      <c r="I21" s="86">
        <f t="shared" si="0"/>
        <v>40359</v>
      </c>
    </row>
    <row r="22" spans="9:9" x14ac:dyDescent="0.25">
      <c r="I22" s="86">
        <f t="shared" si="0"/>
        <v>40390</v>
      </c>
    </row>
    <row r="23" spans="9:9" x14ac:dyDescent="0.25">
      <c r="I23" s="86">
        <f t="shared" si="0"/>
        <v>40421</v>
      </c>
    </row>
    <row r="24" spans="9:9" x14ac:dyDescent="0.25">
      <c r="I24" s="86">
        <f t="shared" si="0"/>
        <v>40451</v>
      </c>
    </row>
    <row r="25" spans="9:9" x14ac:dyDescent="0.25">
      <c r="I25" s="86">
        <f t="shared" si="0"/>
        <v>40482</v>
      </c>
    </row>
    <row r="26" spans="9:9" x14ac:dyDescent="0.25">
      <c r="I26" s="86">
        <f t="shared" si="0"/>
        <v>40512</v>
      </c>
    </row>
    <row r="27" spans="9:9" x14ac:dyDescent="0.25">
      <c r="I27" s="86">
        <f t="shared" si="0"/>
        <v>40543</v>
      </c>
    </row>
    <row r="28" spans="9:9" x14ac:dyDescent="0.25">
      <c r="I28" s="86">
        <f t="shared" si="0"/>
        <v>40574</v>
      </c>
    </row>
    <row r="29" spans="9:9" x14ac:dyDescent="0.25">
      <c r="I29" s="86">
        <f t="shared" si="0"/>
        <v>40602</v>
      </c>
    </row>
    <row r="30" spans="9:9" x14ac:dyDescent="0.25">
      <c r="I30" s="86">
        <f t="shared" si="0"/>
        <v>40633</v>
      </c>
    </row>
    <row r="31" spans="9:9" x14ac:dyDescent="0.25">
      <c r="I31" s="86">
        <f t="shared" si="0"/>
        <v>40663</v>
      </c>
    </row>
    <row r="32" spans="9:9" x14ac:dyDescent="0.25">
      <c r="I32" s="86">
        <f t="shared" si="0"/>
        <v>40694</v>
      </c>
    </row>
    <row r="33" spans="9:9" x14ac:dyDescent="0.25">
      <c r="I33" s="86">
        <f t="shared" si="0"/>
        <v>40724</v>
      </c>
    </row>
    <row r="34" spans="9:9" x14ac:dyDescent="0.25">
      <c r="I34" s="86">
        <f t="shared" si="0"/>
        <v>40755</v>
      </c>
    </row>
    <row r="35" spans="9:9" x14ac:dyDescent="0.25">
      <c r="I35" s="86">
        <f t="shared" si="0"/>
        <v>40786</v>
      </c>
    </row>
    <row r="36" spans="9:9" x14ac:dyDescent="0.25">
      <c r="I36" s="86">
        <f t="shared" si="0"/>
        <v>40816</v>
      </c>
    </row>
    <row r="37" spans="9:9" x14ac:dyDescent="0.25">
      <c r="I37" s="86">
        <f t="shared" si="0"/>
        <v>40847</v>
      </c>
    </row>
    <row r="38" spans="9:9" x14ac:dyDescent="0.25">
      <c r="I38" s="86">
        <f t="shared" si="0"/>
        <v>40877</v>
      </c>
    </row>
    <row r="39" spans="9:9" x14ac:dyDescent="0.25">
      <c r="I39" s="86">
        <f t="shared" si="0"/>
        <v>40908</v>
      </c>
    </row>
    <row r="40" spans="9:9" x14ac:dyDescent="0.25">
      <c r="I40" s="86">
        <f t="shared" si="0"/>
        <v>40939</v>
      </c>
    </row>
    <row r="41" spans="9:9" x14ac:dyDescent="0.25">
      <c r="I41" s="86">
        <f t="shared" si="0"/>
        <v>40968</v>
      </c>
    </row>
    <row r="42" spans="9:9" x14ac:dyDescent="0.25">
      <c r="I42" s="86">
        <f t="shared" si="0"/>
        <v>40999</v>
      </c>
    </row>
    <row r="43" spans="9:9" x14ac:dyDescent="0.25">
      <c r="I43" s="86">
        <f t="shared" si="0"/>
        <v>41029</v>
      </c>
    </row>
    <row r="44" spans="9:9" x14ac:dyDescent="0.25">
      <c r="I44" s="86">
        <f t="shared" si="0"/>
        <v>41060</v>
      </c>
    </row>
    <row r="45" spans="9:9" x14ac:dyDescent="0.25">
      <c r="I45" s="86">
        <f t="shared" si="0"/>
        <v>41090</v>
      </c>
    </row>
    <row r="46" spans="9:9" x14ac:dyDescent="0.25">
      <c r="I46" s="86">
        <f t="shared" si="0"/>
        <v>41121</v>
      </c>
    </row>
    <row r="47" spans="9:9" x14ac:dyDescent="0.25">
      <c r="I47" s="86">
        <f t="shared" si="0"/>
        <v>41152</v>
      </c>
    </row>
    <row r="48" spans="9:9" x14ac:dyDescent="0.25">
      <c r="I48" s="86">
        <f t="shared" si="0"/>
        <v>41182</v>
      </c>
    </row>
    <row r="49" spans="9:9" x14ac:dyDescent="0.25">
      <c r="I49" s="86">
        <f t="shared" si="0"/>
        <v>41213</v>
      </c>
    </row>
    <row r="50" spans="9:9" x14ac:dyDescent="0.25">
      <c r="I50" s="86">
        <f t="shared" si="0"/>
        <v>41243</v>
      </c>
    </row>
    <row r="51" spans="9:9" x14ac:dyDescent="0.25">
      <c r="I51" s="86">
        <f t="shared" si="0"/>
        <v>41274</v>
      </c>
    </row>
    <row r="52" spans="9:9" x14ac:dyDescent="0.25">
      <c r="I52" s="86">
        <f t="shared" si="0"/>
        <v>41305</v>
      </c>
    </row>
    <row r="53" spans="9:9" x14ac:dyDescent="0.25">
      <c r="I53" s="86">
        <f t="shared" si="0"/>
        <v>41333</v>
      </c>
    </row>
    <row r="54" spans="9:9" x14ac:dyDescent="0.25">
      <c r="I54" s="86">
        <f t="shared" si="0"/>
        <v>41364</v>
      </c>
    </row>
    <row r="55" spans="9:9" x14ac:dyDescent="0.25">
      <c r="I55" s="86">
        <f t="shared" si="0"/>
        <v>41394</v>
      </c>
    </row>
    <row r="56" spans="9:9" x14ac:dyDescent="0.25">
      <c r="I56" s="86">
        <f t="shared" si="0"/>
        <v>41425</v>
      </c>
    </row>
    <row r="57" spans="9:9" x14ac:dyDescent="0.25">
      <c r="I57" s="86">
        <f t="shared" si="0"/>
        <v>41455</v>
      </c>
    </row>
    <row r="58" spans="9:9" x14ac:dyDescent="0.25">
      <c r="I58" s="86">
        <f t="shared" si="0"/>
        <v>41486</v>
      </c>
    </row>
    <row r="59" spans="9:9" x14ac:dyDescent="0.25">
      <c r="I59" s="86">
        <f t="shared" si="0"/>
        <v>41517</v>
      </c>
    </row>
    <row r="60" spans="9:9" x14ac:dyDescent="0.25">
      <c r="I60" s="86">
        <f t="shared" si="0"/>
        <v>41547</v>
      </c>
    </row>
    <row r="61" spans="9:9" x14ac:dyDescent="0.25">
      <c r="I61" s="86">
        <f t="shared" si="0"/>
        <v>41578</v>
      </c>
    </row>
    <row r="62" spans="9:9" x14ac:dyDescent="0.25">
      <c r="I62" s="86">
        <f t="shared" si="0"/>
        <v>41608</v>
      </c>
    </row>
    <row r="63" spans="9:9" x14ac:dyDescent="0.25">
      <c r="I63" s="86">
        <f t="shared" si="0"/>
        <v>41639</v>
      </c>
    </row>
    <row r="64" spans="9:9" x14ac:dyDescent="0.25">
      <c r="I64" s="86"/>
    </row>
    <row r="65" spans="9:9" x14ac:dyDescent="0.25">
      <c r="I65" s="86"/>
    </row>
    <row r="66" spans="9:9" x14ac:dyDescent="0.25">
      <c r="I66" s="86"/>
    </row>
    <row r="67" spans="9:9" x14ac:dyDescent="0.25">
      <c r="I67" s="86"/>
    </row>
  </sheetData>
  <hyperlinks>
    <hyperlink ref="B5" r:id="rId1"/>
    <hyperlink ref="B4" r:id="rId2"/>
  </hyperlink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theme="7" tint="-0.249977111117893"/>
  </sheetPr>
  <dimension ref="A1:H22"/>
  <sheetViews>
    <sheetView workbookViewId="0">
      <selection activeCell="B20" sqref="B20"/>
    </sheetView>
  </sheetViews>
  <sheetFormatPr defaultRowHeight="15" x14ac:dyDescent="0.25"/>
  <cols>
    <col min="2" max="2" width="45.85546875" bestFit="1" customWidth="1"/>
    <col min="3" max="3" width="10.7109375" bestFit="1" customWidth="1"/>
  </cols>
  <sheetData>
    <row r="1" spans="1:8" ht="18.75" x14ac:dyDescent="0.3">
      <c r="A1" s="4" t="s">
        <v>119</v>
      </c>
    </row>
    <row r="2" spans="1:8" x14ac:dyDescent="0.25">
      <c r="A2" s="48" t="s">
        <v>84</v>
      </c>
      <c r="B2" s="48" t="s">
        <v>122</v>
      </c>
    </row>
    <row r="4" spans="1:8" x14ac:dyDescent="0.25">
      <c r="B4" s="28" t="s">
        <v>129</v>
      </c>
      <c r="C4" s="85">
        <v>31140</v>
      </c>
    </row>
    <row r="5" spans="1:8" x14ac:dyDescent="0.25">
      <c r="B5" s="28" t="s">
        <v>130</v>
      </c>
      <c r="C5" s="27">
        <v>60000</v>
      </c>
    </row>
    <row r="6" spans="1:8" x14ac:dyDescent="0.25">
      <c r="B6" s="28"/>
      <c r="C6" s="27"/>
      <c r="G6" s="84" t="s">
        <v>120</v>
      </c>
      <c r="H6" s="84" t="s">
        <v>121</v>
      </c>
    </row>
    <row r="7" spans="1:8" x14ac:dyDescent="0.25">
      <c r="G7">
        <v>2009</v>
      </c>
      <c r="H7">
        <v>5000</v>
      </c>
    </row>
    <row r="8" spans="1:8" x14ac:dyDescent="0.25">
      <c r="B8" s="28" t="s">
        <v>143</v>
      </c>
      <c r="G8">
        <v>2010</v>
      </c>
      <c r="H8">
        <v>5000</v>
      </c>
    </row>
    <row r="9" spans="1:8" x14ac:dyDescent="0.25">
      <c r="B9" s="28" t="s">
        <v>131</v>
      </c>
      <c r="G9">
        <v>2011</v>
      </c>
      <c r="H9">
        <v>5000</v>
      </c>
    </row>
    <row r="10" spans="1:8" x14ac:dyDescent="0.25">
      <c r="B10" s="28" t="s">
        <v>132</v>
      </c>
      <c r="G10">
        <v>2012</v>
      </c>
      <c r="H10">
        <v>5000</v>
      </c>
    </row>
    <row r="11" spans="1:8" x14ac:dyDescent="0.25">
      <c r="B11" s="28" t="s">
        <v>133</v>
      </c>
      <c r="G11">
        <v>2013</v>
      </c>
      <c r="H11">
        <v>5500</v>
      </c>
    </row>
    <row r="15" spans="1:8" x14ac:dyDescent="0.25">
      <c r="A15" s="36" t="s">
        <v>123</v>
      </c>
    </row>
    <row r="17" spans="1:1" x14ac:dyDescent="0.25">
      <c r="A17" t="s">
        <v>124</v>
      </c>
    </row>
    <row r="18" spans="1:1" x14ac:dyDescent="0.25">
      <c r="A18" t="s">
        <v>125</v>
      </c>
    </row>
    <row r="19" spans="1:1" x14ac:dyDescent="0.25">
      <c r="A19" t="s">
        <v>126</v>
      </c>
    </row>
    <row r="20" spans="1:1" x14ac:dyDescent="0.25">
      <c r="A20" t="s">
        <v>127</v>
      </c>
    </row>
    <row r="22" spans="1:1" x14ac:dyDescent="0.25">
      <c r="A22" t="s">
        <v>128</v>
      </c>
    </row>
  </sheetData>
  <hyperlinks>
    <hyperlink ref="B2" r:id="rId1"/>
  </hyperlinks>
  <pageMargins left="0.7" right="0.7" top="0.75" bottom="0.75" header="0.3" footer="0.3"/>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15</vt:i4>
      </vt:variant>
    </vt:vector>
  </HeadingPairs>
  <TitlesOfParts>
    <vt:vector size="23" baseType="lpstr">
      <vt:lpstr>UserForm</vt:lpstr>
      <vt:lpstr>Projection</vt:lpstr>
      <vt:lpstr>Tax</vt:lpstr>
      <vt:lpstr>Rates</vt:lpstr>
      <vt:lpstr>Credits</vt:lpstr>
      <vt:lpstr>DropDownList</vt:lpstr>
      <vt:lpstr>Funds2013</vt:lpstr>
      <vt:lpstr>TFSA2013</vt:lpstr>
      <vt:lpstr>Current_Age</vt:lpstr>
      <vt:lpstr>Projection!Income</vt:lpstr>
      <vt:lpstr>Inflation</vt:lpstr>
      <vt:lpstr>Margin</vt:lpstr>
      <vt:lpstr>Productivity</vt:lpstr>
      <vt:lpstr>Retirement_Age</vt:lpstr>
      <vt:lpstr>Return</vt:lpstr>
      <vt:lpstr>RRSP</vt:lpstr>
      <vt:lpstr>Salary</vt:lpstr>
      <vt:lpstr>Savings_Rate</vt:lpstr>
      <vt:lpstr>Tax_Total</vt:lpstr>
      <vt:lpstr>Taxable_Income</vt:lpstr>
      <vt:lpstr>Territory</vt:lpstr>
      <vt:lpstr>TFSA</vt:lpstr>
      <vt:lpstr>Year</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2013-08-29T07:57:54Z</dcterms:modified>
</cp:coreProperties>
</file>